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20001_{CA3143D4-0F65-4764-A5E3-468FE9634EC6}" xr6:coauthVersionLast="47" xr6:coauthVersionMax="47" xr10:uidLastSave="{00000000-0000-0000-0000-000000000000}"/>
  <bookViews>
    <workbookView xWindow="-120" yWindow="-120" windowWidth="20640" windowHeight="11040" tabRatio="900" xr2:uid="{00000000-000D-0000-FFFF-FFFF00000000}"/>
  </bookViews>
  <sheets>
    <sheet name="DashBoard" sheetId="1" r:id="rId1"/>
    <sheet name="Expenses" sheetId="2" r:id="rId2"/>
    <sheet name="Income" sheetId="3" r:id="rId3"/>
    <sheet name="InHand" sheetId="4" r:id="rId4"/>
    <sheet name="Comparison to Budget Targets" sheetId="5" r:id="rId5"/>
    <sheet name="Total &amp; Budget Targets" sheetId="6" r:id="rId6"/>
    <sheet name="Selected Time Period Data" sheetId="7" r:id="rId7"/>
    <sheet name="Category Setup" sheetId="8" r:id="rId8"/>
    <sheet name="Date Info" sheetId="9" state="hidden" r:id="rId9"/>
  </sheets>
  <externalReferences>
    <externalReference r:id="rId10"/>
  </externalReferences>
  <definedNames>
    <definedName name="_xlnm._FilterDatabase" localSheetId="1" hidden="1">Expenses!$B$5:$H$997</definedName>
    <definedName name="_xlnm._FilterDatabase" localSheetId="2" hidden="1">Income!$B$4:$F$986</definedName>
    <definedName name="_xlnm._FilterDatabase" localSheetId="3" hidden="1">InHand!$B$4:$F$978</definedName>
    <definedName name="rangeExpenseCategories">'Category Setup'!$B$129:$B$168</definedName>
    <definedName name="rangeIncomeCategories">'Category Setup'!$B$175:$B$181</definedName>
    <definedName name="rangeTimePeriods">'Date Info'!$E$12:$E$18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9" l="1"/>
  <c r="C52" i="9"/>
  <c r="A51" i="9"/>
  <c r="A52" i="9" s="1"/>
  <c r="F49" i="9"/>
  <c r="E49" i="9"/>
  <c r="D49" i="9"/>
  <c r="C49" i="9"/>
  <c r="B21" i="9"/>
  <c r="D6" i="9"/>
  <c r="C6" i="9"/>
  <c r="D5" i="9"/>
  <c r="E5" i="9" s="1"/>
  <c r="C5" i="9"/>
  <c r="B210" i="8"/>
  <c r="B209" i="8"/>
  <c r="B208" i="8"/>
  <c r="B207" i="8"/>
  <c r="B206" i="8"/>
  <c r="B205" i="8"/>
  <c r="B204" i="8"/>
  <c r="B203" i="8"/>
  <c r="A203" i="8"/>
  <c r="B202" i="8"/>
  <c r="A202" i="8" s="1"/>
  <c r="B201" i="8"/>
  <c r="A201" i="8"/>
  <c r="B200" i="8"/>
  <c r="A200" i="8" s="1"/>
  <c r="B199" i="8"/>
  <c r="A199" i="8"/>
  <c r="B198" i="8"/>
  <c r="A198" i="8" s="1"/>
  <c r="B197" i="8"/>
  <c r="A197" i="8"/>
  <c r="B196" i="8"/>
  <c r="A196" i="8" s="1"/>
  <c r="B189" i="8"/>
  <c r="A189" i="8" s="1"/>
  <c r="B188" i="8"/>
  <c r="A188" i="8" s="1"/>
  <c r="B187" i="8"/>
  <c r="A187" i="8" s="1"/>
  <c r="B186" i="8"/>
  <c r="A186" i="8" s="1"/>
  <c r="B185" i="8"/>
  <c r="A185" i="8"/>
  <c r="B184" i="8"/>
  <c r="A184" i="8" s="1"/>
  <c r="B183" i="8"/>
  <c r="A183" i="8"/>
  <c r="B182" i="8"/>
  <c r="A182" i="8" s="1"/>
  <c r="B181" i="8"/>
  <c r="A181" i="8" s="1"/>
  <c r="B180" i="8"/>
  <c r="A180" i="8" s="1"/>
  <c r="B179" i="8"/>
  <c r="A179" i="8"/>
  <c r="B178" i="8"/>
  <c r="A178" i="8" s="1"/>
  <c r="B177" i="8"/>
  <c r="A177" i="8" s="1"/>
  <c r="B176" i="8"/>
  <c r="A176" i="8" s="1"/>
  <c r="B175" i="8"/>
  <c r="A175" i="8"/>
  <c r="B168" i="8"/>
  <c r="A168" i="8"/>
  <c r="B167" i="8"/>
  <c r="A167" i="8" s="1"/>
  <c r="B166" i="8"/>
  <c r="A166" i="8"/>
  <c r="B165" i="8"/>
  <c r="A165" i="8" s="1"/>
  <c r="B164" i="8"/>
  <c r="A164" i="8"/>
  <c r="B163" i="8"/>
  <c r="A163" i="8" s="1"/>
  <c r="B162" i="8"/>
  <c r="A162" i="8"/>
  <c r="B161" i="8"/>
  <c r="A161" i="8" s="1"/>
  <c r="B160" i="8"/>
  <c r="A160" i="8"/>
  <c r="B159" i="8"/>
  <c r="A159" i="8" s="1"/>
  <c r="B158" i="8"/>
  <c r="A158" i="8"/>
  <c r="B157" i="8"/>
  <c r="A157" i="8" s="1"/>
  <c r="B156" i="8"/>
  <c r="A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A129" i="8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9" i="7"/>
  <c r="A10" i="7" s="1"/>
  <c r="A7" i="7"/>
  <c r="A8" i="7" s="1"/>
  <c r="A6" i="7"/>
  <c r="F5" i="7"/>
  <c r="D5" i="7"/>
  <c r="B91" i="6"/>
  <c r="H91" i="6" s="1"/>
  <c r="A91" i="6"/>
  <c r="H90" i="6"/>
  <c r="E90" i="6"/>
  <c r="B90" i="6"/>
  <c r="A90" i="6"/>
  <c r="H89" i="6"/>
  <c r="E89" i="6"/>
  <c r="B89" i="6"/>
  <c r="A89" i="6"/>
  <c r="H88" i="6"/>
  <c r="B88" i="6"/>
  <c r="E88" i="6" s="1"/>
  <c r="A88" i="6"/>
  <c r="B87" i="6"/>
  <c r="H87" i="6" s="1"/>
  <c r="A87" i="6"/>
  <c r="H86" i="6"/>
  <c r="E86" i="6"/>
  <c r="D86" i="6"/>
  <c r="B86" i="6"/>
  <c r="A86" i="6"/>
  <c r="H85" i="6"/>
  <c r="E85" i="6"/>
  <c r="B85" i="6"/>
  <c r="D85" i="6" s="1"/>
  <c r="A85" i="6"/>
  <c r="H84" i="6"/>
  <c r="B84" i="6"/>
  <c r="E84" i="6" s="1"/>
  <c r="A84" i="6"/>
  <c r="B83" i="6"/>
  <c r="H83" i="6" s="1"/>
  <c r="A83" i="6"/>
  <c r="H82" i="6"/>
  <c r="E82" i="6"/>
  <c r="B82" i="6"/>
  <c r="A82" i="6"/>
  <c r="H81" i="6"/>
  <c r="E81" i="6"/>
  <c r="B81" i="6"/>
  <c r="A81" i="6"/>
  <c r="H80" i="6"/>
  <c r="B80" i="6"/>
  <c r="E80" i="6" s="1"/>
  <c r="A80" i="6"/>
  <c r="B79" i="6"/>
  <c r="H79" i="6" s="1"/>
  <c r="A79" i="6"/>
  <c r="H78" i="6"/>
  <c r="E78" i="6"/>
  <c r="B78" i="6"/>
  <c r="A78" i="6"/>
  <c r="H77" i="6"/>
  <c r="E77" i="6"/>
  <c r="B77" i="6"/>
  <c r="A77" i="6"/>
  <c r="H62" i="6"/>
  <c r="E62" i="6"/>
  <c r="D62" i="6"/>
  <c r="B62" i="6"/>
  <c r="A62" i="6"/>
  <c r="H61" i="6"/>
  <c r="E61" i="6"/>
  <c r="B61" i="6"/>
  <c r="D61" i="6" s="1"/>
  <c r="A61" i="6"/>
  <c r="H60" i="6"/>
  <c r="B60" i="6"/>
  <c r="E60" i="6" s="1"/>
  <c r="A60" i="6"/>
  <c r="B59" i="6"/>
  <c r="H59" i="6" s="1"/>
  <c r="A59" i="6"/>
  <c r="H58" i="6"/>
  <c r="E58" i="6"/>
  <c r="D58" i="6"/>
  <c r="B58" i="6"/>
  <c r="A58" i="6"/>
  <c r="H57" i="6"/>
  <c r="E57" i="6"/>
  <c r="B57" i="6"/>
  <c r="D57" i="6" s="1"/>
  <c r="A57" i="6"/>
  <c r="H56" i="6"/>
  <c r="B56" i="6"/>
  <c r="E56" i="6" s="1"/>
  <c r="A56" i="6"/>
  <c r="B55" i="6"/>
  <c r="H55" i="6" s="1"/>
  <c r="A55" i="6"/>
  <c r="H54" i="6"/>
  <c r="E54" i="6"/>
  <c r="D54" i="6"/>
  <c r="B54" i="6"/>
  <c r="A54" i="6"/>
  <c r="H53" i="6"/>
  <c r="E53" i="6"/>
  <c r="B53" i="6"/>
  <c r="D53" i="6" s="1"/>
  <c r="A53" i="6"/>
  <c r="H52" i="6"/>
  <c r="B52" i="6"/>
  <c r="E52" i="6" s="1"/>
  <c r="A52" i="6"/>
  <c r="B51" i="6"/>
  <c r="H51" i="6" s="1"/>
  <c r="A51" i="6"/>
  <c r="H50" i="6"/>
  <c r="E50" i="6"/>
  <c r="B50" i="6"/>
  <c r="A50" i="6"/>
  <c r="H49" i="6"/>
  <c r="E49" i="6"/>
  <c r="B49" i="6"/>
  <c r="A49" i="6"/>
  <c r="H48" i="6"/>
  <c r="B48" i="6"/>
  <c r="E48" i="6" s="1"/>
  <c r="A48" i="6"/>
  <c r="E43" i="6"/>
  <c r="D43" i="6"/>
  <c r="B43" i="6"/>
  <c r="H43" i="6" s="1"/>
  <c r="A43" i="6"/>
  <c r="H42" i="6"/>
  <c r="E42" i="6"/>
  <c r="D42" i="6"/>
  <c r="B42" i="6"/>
  <c r="A42" i="6"/>
  <c r="H41" i="6"/>
  <c r="B41" i="6"/>
  <c r="E41" i="6" s="1"/>
  <c r="A41" i="6"/>
  <c r="B40" i="6"/>
  <c r="H40" i="6" s="1"/>
  <c r="A40" i="6"/>
  <c r="E39" i="6"/>
  <c r="D39" i="6"/>
  <c r="B39" i="6"/>
  <c r="H39" i="6" s="1"/>
  <c r="A39" i="6"/>
  <c r="H38" i="6"/>
  <c r="E38" i="6"/>
  <c r="D38" i="6"/>
  <c r="B38" i="6"/>
  <c r="A38" i="6"/>
  <c r="H37" i="6"/>
  <c r="B37" i="6"/>
  <c r="E37" i="6" s="1"/>
  <c r="A37" i="6"/>
  <c r="B36" i="6"/>
  <c r="H36" i="6" s="1"/>
  <c r="A36" i="6"/>
  <c r="E35" i="6"/>
  <c r="D35" i="6"/>
  <c r="B35" i="6"/>
  <c r="H35" i="6" s="1"/>
  <c r="A35" i="6"/>
  <c r="H34" i="6"/>
  <c r="E34" i="6"/>
  <c r="D34" i="6"/>
  <c r="B34" i="6"/>
  <c r="A34" i="6"/>
  <c r="H33" i="6"/>
  <c r="B33" i="6"/>
  <c r="E33" i="6" s="1"/>
  <c r="A33" i="6"/>
  <c r="B32" i="6"/>
  <c r="H32" i="6" s="1"/>
  <c r="A32" i="6"/>
  <c r="E31" i="6"/>
  <c r="D31" i="6"/>
  <c r="B31" i="6"/>
  <c r="H31" i="6" s="1"/>
  <c r="A31" i="6"/>
  <c r="H30" i="6"/>
  <c r="E30" i="6"/>
  <c r="B30" i="6"/>
  <c r="H29" i="6"/>
  <c r="B29" i="6"/>
  <c r="E29" i="6" s="1"/>
  <c r="B28" i="6"/>
  <c r="H28" i="6" s="1"/>
  <c r="E27" i="6"/>
  <c r="B27" i="6"/>
  <c r="H27" i="6" s="1"/>
  <c r="H26" i="6"/>
  <c r="E26" i="6"/>
  <c r="B26" i="6"/>
  <c r="H25" i="6"/>
  <c r="B25" i="6"/>
  <c r="E25" i="6" s="1"/>
  <c r="B24" i="6"/>
  <c r="H24" i="6" s="1"/>
  <c r="E23" i="6"/>
  <c r="B23" i="6"/>
  <c r="H23" i="6" s="1"/>
  <c r="H22" i="6"/>
  <c r="E22" i="6"/>
  <c r="B22" i="6"/>
  <c r="H21" i="6"/>
  <c r="B21" i="6"/>
  <c r="E21" i="6" s="1"/>
  <c r="B20" i="6"/>
  <c r="H20" i="6" s="1"/>
  <c r="E19" i="6"/>
  <c r="B19" i="6"/>
  <c r="H19" i="6" s="1"/>
  <c r="H18" i="6"/>
  <c r="E18" i="6"/>
  <c r="B18" i="6"/>
  <c r="H17" i="6"/>
  <c r="B17" i="6"/>
  <c r="E17" i="6" s="1"/>
  <c r="B16" i="6"/>
  <c r="H16" i="6" s="1"/>
  <c r="E15" i="6"/>
  <c r="B15" i="6"/>
  <c r="H15" i="6" s="1"/>
  <c r="H14" i="6"/>
  <c r="E14" i="6"/>
  <c r="B14" i="6"/>
  <c r="H13" i="6"/>
  <c r="B13" i="6"/>
  <c r="E13" i="6" s="1"/>
  <c r="B12" i="6"/>
  <c r="H12" i="6" s="1"/>
  <c r="E11" i="6"/>
  <c r="B11" i="6"/>
  <c r="H11" i="6" s="1"/>
  <c r="H10" i="6"/>
  <c r="E10" i="6"/>
  <c r="B10" i="6"/>
  <c r="H9" i="6"/>
  <c r="B9" i="6"/>
  <c r="E9" i="6" s="1"/>
  <c r="B8" i="6"/>
  <c r="H8" i="6" s="1"/>
  <c r="E7" i="6"/>
  <c r="B7" i="6"/>
  <c r="H7" i="6" s="1"/>
  <c r="H6" i="6"/>
  <c r="E6" i="6"/>
  <c r="B6" i="6"/>
  <c r="H5" i="6"/>
  <c r="B5" i="6"/>
  <c r="E5" i="6" s="1"/>
  <c r="B4" i="6"/>
  <c r="H4" i="6" s="1"/>
  <c r="A4" i="6"/>
  <c r="E67" i="5"/>
  <c r="D67" i="5"/>
  <c r="B67" i="5"/>
  <c r="H67" i="5" s="1"/>
  <c r="A67" i="5"/>
  <c r="G66" i="5"/>
  <c r="B66" i="5"/>
  <c r="E66" i="5" s="1"/>
  <c r="A66" i="5"/>
  <c r="E65" i="5"/>
  <c r="D65" i="5"/>
  <c r="B65" i="5"/>
  <c r="H65" i="5" s="1"/>
  <c r="A65" i="5"/>
  <c r="G64" i="5"/>
  <c r="B64" i="5"/>
  <c r="E64" i="5" s="1"/>
  <c r="A64" i="5"/>
  <c r="E63" i="5"/>
  <c r="D63" i="5"/>
  <c r="B63" i="5"/>
  <c r="H63" i="5" s="1"/>
  <c r="A63" i="5"/>
  <c r="G62" i="5"/>
  <c r="B62" i="5"/>
  <c r="E62" i="5" s="1"/>
  <c r="A62" i="5"/>
  <c r="E61" i="5"/>
  <c r="D61" i="5"/>
  <c r="B61" i="5"/>
  <c r="H61" i="5" s="1"/>
  <c r="A61" i="5"/>
  <c r="G60" i="5"/>
  <c r="B60" i="5"/>
  <c r="E60" i="5" s="1"/>
  <c r="A60" i="5"/>
  <c r="E59" i="5"/>
  <c r="D59" i="5"/>
  <c r="B59" i="5"/>
  <c r="H59" i="5" s="1"/>
  <c r="A59" i="5"/>
  <c r="G58" i="5"/>
  <c r="B58" i="5"/>
  <c r="E58" i="5" s="1"/>
  <c r="A58" i="5"/>
  <c r="E57" i="5"/>
  <c r="D57" i="5"/>
  <c r="B57" i="5"/>
  <c r="H57" i="5" s="1"/>
  <c r="A57" i="5"/>
  <c r="G56" i="5"/>
  <c r="B56" i="5"/>
  <c r="E56" i="5" s="1"/>
  <c r="A56" i="5"/>
  <c r="D55" i="5"/>
  <c r="B55" i="5"/>
  <c r="A55" i="5"/>
  <c r="B54" i="5"/>
  <c r="A54" i="5"/>
  <c r="D53" i="5"/>
  <c r="B53" i="5"/>
  <c r="A53" i="5"/>
  <c r="G48" i="5"/>
  <c r="B48" i="5"/>
  <c r="E48" i="5" s="1"/>
  <c r="A48" i="5"/>
  <c r="E47" i="5"/>
  <c r="D47" i="5"/>
  <c r="B47" i="5"/>
  <c r="H47" i="5" s="1"/>
  <c r="A47" i="5"/>
  <c r="G46" i="5"/>
  <c r="B46" i="5"/>
  <c r="E46" i="5" s="1"/>
  <c r="A46" i="5"/>
  <c r="E45" i="5"/>
  <c r="D45" i="5"/>
  <c r="B45" i="5"/>
  <c r="H45" i="5" s="1"/>
  <c r="A45" i="5"/>
  <c r="G44" i="5"/>
  <c r="B44" i="5"/>
  <c r="E44" i="5" s="1"/>
  <c r="A44" i="5"/>
  <c r="E43" i="5"/>
  <c r="D43" i="5"/>
  <c r="B43" i="5"/>
  <c r="H43" i="5" s="1"/>
  <c r="A43" i="5"/>
  <c r="G42" i="5"/>
  <c r="B42" i="5"/>
  <c r="E42" i="5" s="1"/>
  <c r="A42" i="5"/>
  <c r="E41" i="5"/>
  <c r="D41" i="5"/>
  <c r="B41" i="5"/>
  <c r="H41" i="5" s="1"/>
  <c r="A41" i="5"/>
  <c r="G40" i="5"/>
  <c r="B40" i="5"/>
  <c r="E40" i="5" s="1"/>
  <c r="A40" i="5"/>
  <c r="E39" i="5"/>
  <c r="D39" i="5"/>
  <c r="B39" i="5"/>
  <c r="H39" i="5" s="1"/>
  <c r="A39" i="5"/>
  <c r="G38" i="5"/>
  <c r="B38" i="5"/>
  <c r="E38" i="5" s="1"/>
  <c r="A38" i="5"/>
  <c r="E37" i="5"/>
  <c r="D37" i="5"/>
  <c r="B37" i="5"/>
  <c r="H37" i="5" s="1"/>
  <c r="A37" i="5"/>
  <c r="G36" i="5"/>
  <c r="B36" i="5"/>
  <c r="E36" i="5" s="1"/>
  <c r="A36" i="5"/>
  <c r="D35" i="5"/>
  <c r="B35" i="5"/>
  <c r="B34" i="5"/>
  <c r="D33" i="5"/>
  <c r="B33" i="5"/>
  <c r="B32" i="5"/>
  <c r="D31" i="5"/>
  <c r="B31" i="5"/>
  <c r="B30" i="5"/>
  <c r="E30" i="5" s="1"/>
  <c r="D29" i="5"/>
  <c r="B29" i="5"/>
  <c r="B28" i="5"/>
  <c r="D27" i="5"/>
  <c r="B27" i="5"/>
  <c r="B26" i="5"/>
  <c r="D25" i="5"/>
  <c r="B25" i="5"/>
  <c r="B24" i="5"/>
  <c r="D23" i="5"/>
  <c r="B23" i="5"/>
  <c r="B22" i="5"/>
  <c r="E22" i="5" s="1"/>
  <c r="D21" i="5"/>
  <c r="B21" i="5"/>
  <c r="B20" i="5"/>
  <c r="D19" i="5"/>
  <c r="B19" i="5"/>
  <c r="B18" i="5"/>
  <c r="D17" i="5"/>
  <c r="B17" i="5"/>
  <c r="B16" i="5"/>
  <c r="D15" i="5"/>
  <c r="B15" i="5"/>
  <c r="B14" i="5"/>
  <c r="E14" i="5" s="1"/>
  <c r="D13" i="5"/>
  <c r="B13" i="5"/>
  <c r="B12" i="5"/>
  <c r="D11" i="5"/>
  <c r="B11" i="5"/>
  <c r="B10" i="5"/>
  <c r="D9" i="5"/>
  <c r="B9" i="5"/>
  <c r="A9" i="5"/>
  <c r="D3" i="5"/>
  <c r="E55" i="5" s="1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G7" i="2"/>
  <c r="C7" i="2"/>
  <c r="G6" i="2"/>
  <c r="C6" i="2"/>
  <c r="E12" i="5" l="1"/>
  <c r="E20" i="5"/>
  <c r="E28" i="5"/>
  <c r="E10" i="5"/>
  <c r="E18" i="5"/>
  <c r="E26" i="5"/>
  <c r="E34" i="5"/>
  <c r="E54" i="5"/>
  <c r="E16" i="5"/>
  <c r="E24" i="5"/>
  <c r="E32" i="5"/>
  <c r="E6" i="9"/>
  <c r="D55" i="9"/>
  <c r="D56" i="9" s="1"/>
  <c r="H55" i="5"/>
  <c r="E63" i="6"/>
  <c r="E67" i="6" s="1"/>
  <c r="B5" i="5"/>
  <c r="E9" i="5"/>
  <c r="G9" i="5" s="1"/>
  <c r="E11" i="5"/>
  <c r="H11" i="5" s="1"/>
  <c r="E13" i="5"/>
  <c r="H13" i="5" s="1"/>
  <c r="E15" i="5"/>
  <c r="H15" i="5" s="1"/>
  <c r="E17" i="5"/>
  <c r="H17" i="5" s="1"/>
  <c r="E19" i="5"/>
  <c r="H19" i="5" s="1"/>
  <c r="E21" i="5"/>
  <c r="H21" i="5" s="1"/>
  <c r="E23" i="5"/>
  <c r="H23" i="5" s="1"/>
  <c r="E25" i="5"/>
  <c r="H25" i="5" s="1"/>
  <c r="E27" i="5"/>
  <c r="H27" i="5" s="1"/>
  <c r="E29" i="5"/>
  <c r="H29" i="5" s="1"/>
  <c r="E31" i="5"/>
  <c r="H31" i="5" s="1"/>
  <c r="E33" i="5"/>
  <c r="G33" i="5" s="1"/>
  <c r="E35" i="5"/>
  <c r="H35" i="5" s="1"/>
  <c r="H36" i="5"/>
  <c r="H38" i="5"/>
  <c r="H40" i="5"/>
  <c r="H42" i="5"/>
  <c r="H44" i="5"/>
  <c r="H46" i="5"/>
  <c r="H48" i="5"/>
  <c r="E53" i="5"/>
  <c r="H56" i="5"/>
  <c r="H58" i="5"/>
  <c r="H60" i="5"/>
  <c r="H62" i="5"/>
  <c r="H64" i="5"/>
  <c r="H66" i="5"/>
  <c r="D32" i="6"/>
  <c r="D36" i="6"/>
  <c r="D40" i="6"/>
  <c r="D51" i="6"/>
  <c r="D55" i="6"/>
  <c r="D59" i="6"/>
  <c r="G63" i="6"/>
  <c r="E92" i="6"/>
  <c r="C5" i="1" s="1"/>
  <c r="H92" i="6"/>
  <c r="D83" i="6"/>
  <c r="G92" i="6"/>
  <c r="D10" i="5"/>
  <c r="D12" i="5"/>
  <c r="G12" i="5" s="1"/>
  <c r="D14" i="5"/>
  <c r="G14" i="5" s="1"/>
  <c r="D16" i="5"/>
  <c r="G16" i="5" s="1"/>
  <c r="D18" i="5"/>
  <c r="D20" i="5"/>
  <c r="D22" i="5"/>
  <c r="G22" i="5" s="1"/>
  <c r="D24" i="5"/>
  <c r="D26" i="5"/>
  <c r="D28" i="5"/>
  <c r="D30" i="5"/>
  <c r="G30" i="5" s="1"/>
  <c r="D32" i="5"/>
  <c r="D34" i="5"/>
  <c r="D36" i="5"/>
  <c r="G37" i="5"/>
  <c r="D38" i="5"/>
  <c r="G39" i="5"/>
  <c r="D40" i="5"/>
  <c r="G41" i="5"/>
  <c r="D42" i="5"/>
  <c r="G43" i="5"/>
  <c r="D44" i="5"/>
  <c r="G45" i="5"/>
  <c r="D46" i="5"/>
  <c r="G47" i="5"/>
  <c r="D48" i="5"/>
  <c r="D54" i="5"/>
  <c r="G55" i="5"/>
  <c r="D56" i="5"/>
  <c r="G57" i="5"/>
  <c r="D58" i="5"/>
  <c r="G59" i="5"/>
  <c r="D60" i="5"/>
  <c r="G61" i="5"/>
  <c r="D62" i="5"/>
  <c r="G63" i="5"/>
  <c r="D64" i="5"/>
  <c r="G65" i="5"/>
  <c r="D66" i="5"/>
  <c r="G67" i="5"/>
  <c r="E4" i="6"/>
  <c r="E8" i="6"/>
  <c r="E12" i="6"/>
  <c r="E16" i="6"/>
  <c r="E20" i="6"/>
  <c r="E24" i="6"/>
  <c r="E28" i="6"/>
  <c r="E32" i="6"/>
  <c r="D33" i="6"/>
  <c r="E36" i="6"/>
  <c r="D37" i="6"/>
  <c r="E40" i="6"/>
  <c r="D41" i="6"/>
  <c r="E51" i="6"/>
  <c r="D52" i="6"/>
  <c r="E55" i="6"/>
  <c r="D56" i="6"/>
  <c r="E59" i="6"/>
  <c r="D60" i="6"/>
  <c r="H63" i="6"/>
  <c r="H67" i="6" s="1"/>
  <c r="E79" i="6"/>
  <c r="E83" i="6"/>
  <c r="D84" i="6"/>
  <c r="E87" i="6"/>
  <c r="E91" i="6"/>
  <c r="E5" i="7"/>
  <c r="A130" i="8"/>
  <c r="B173" i="8"/>
  <c r="B194" i="8"/>
  <c r="G6" i="9"/>
  <c r="D43" i="9"/>
  <c r="F6" i="9"/>
  <c r="G5" i="9"/>
  <c r="F5" i="9"/>
  <c r="F52" i="9"/>
  <c r="B52" i="9"/>
  <c r="E52" i="9"/>
  <c r="G27" i="5" l="1"/>
  <c r="G20" i="5"/>
  <c r="G32" i="5"/>
  <c r="G26" i="5"/>
  <c r="G19" i="5"/>
  <c r="G24" i="5"/>
  <c r="G18" i="5"/>
  <c r="G13" i="5"/>
  <c r="G35" i="5"/>
  <c r="G28" i="5"/>
  <c r="G23" i="5"/>
  <c r="E68" i="5"/>
  <c r="E72" i="5" s="1"/>
  <c r="G31" i="5"/>
  <c r="G21" i="5"/>
  <c r="G34" i="5"/>
  <c r="G29" i="5"/>
  <c r="G15" i="5"/>
  <c r="G11" i="5"/>
  <c r="G10" i="5"/>
  <c r="H33" i="5"/>
  <c r="G53" i="5"/>
  <c r="G25" i="5"/>
  <c r="G17" i="5"/>
  <c r="G54" i="5"/>
  <c r="H12" i="5"/>
  <c r="H16" i="5"/>
  <c r="D57" i="9"/>
  <c r="F55" i="9"/>
  <c r="F57" i="9" s="1"/>
  <c r="C17" i="9"/>
  <c r="A131" i="8"/>
  <c r="C8" i="1"/>
  <c r="D5" i="1" s="1"/>
  <c r="E49" i="5"/>
  <c r="E73" i="5" s="1"/>
  <c r="D68" i="5"/>
  <c r="H9" i="5"/>
  <c r="D49" i="5"/>
  <c r="C25" i="9"/>
  <c r="D79" i="6" s="1"/>
  <c r="C12" i="9"/>
  <c r="C16" i="9"/>
  <c r="D48" i="9"/>
  <c r="D47" i="9"/>
  <c r="D46" i="9"/>
  <c r="D45" i="9"/>
  <c r="D44" i="9"/>
  <c r="G67" i="6"/>
  <c r="N5" i="7"/>
  <c r="H54" i="5"/>
  <c r="H32" i="5"/>
  <c r="H28" i="5"/>
  <c r="H24" i="5"/>
  <c r="H20" i="5"/>
  <c r="A5" i="6"/>
  <c r="A10" i="5"/>
  <c r="A133" i="8"/>
  <c r="A132" i="8"/>
  <c r="H5" i="7"/>
  <c r="G5" i="7"/>
  <c r="H34" i="5"/>
  <c r="H30" i="5"/>
  <c r="H26" i="5"/>
  <c r="H22" i="5"/>
  <c r="H18" i="5"/>
  <c r="H14" i="5"/>
  <c r="H10" i="5"/>
  <c r="H53" i="5"/>
  <c r="E74" i="5" l="1"/>
  <c r="E75" i="5" s="1"/>
  <c r="G68" i="5"/>
  <c r="G49" i="5"/>
  <c r="F56" i="9"/>
  <c r="F47" i="9"/>
  <c r="C47" i="9"/>
  <c r="E47" i="9" s="1"/>
  <c r="I5" i="7"/>
  <c r="C44" i="9"/>
  <c r="E44" i="9" s="1"/>
  <c r="C43" i="9"/>
  <c r="E43" i="9" s="1"/>
  <c r="F43" i="9" s="1"/>
  <c r="F44" i="9"/>
  <c r="C48" i="9"/>
  <c r="E48" i="9" s="1"/>
  <c r="F48" i="9"/>
  <c r="C13" i="9"/>
  <c r="C14" i="9"/>
  <c r="E12" i="9"/>
  <c r="C15" i="9"/>
  <c r="D12" i="9"/>
  <c r="H68" i="5"/>
  <c r="D72" i="5"/>
  <c r="D91" i="6"/>
  <c r="A8" i="6"/>
  <c r="A13" i="5"/>
  <c r="A12" i="5"/>
  <c r="A7" i="6"/>
  <c r="F45" i="9"/>
  <c r="C45" i="9"/>
  <c r="E45" i="9" s="1"/>
  <c r="C26" i="9"/>
  <c r="D90" i="6"/>
  <c r="D82" i="6"/>
  <c r="D78" i="6"/>
  <c r="D50" i="6"/>
  <c r="D27" i="6"/>
  <c r="D23" i="6"/>
  <c r="D19" i="6"/>
  <c r="D15" i="6"/>
  <c r="D11" i="6"/>
  <c r="D7" i="6"/>
  <c r="D10" i="6"/>
  <c r="D30" i="6"/>
  <c r="D9" i="6"/>
  <c r="D17" i="6"/>
  <c r="D25" i="6"/>
  <c r="D26" i="6"/>
  <c r="D77" i="6"/>
  <c r="D14" i="6"/>
  <c r="D89" i="6"/>
  <c r="D81" i="6"/>
  <c r="D18" i="6"/>
  <c r="D49" i="6"/>
  <c r="D5" i="6"/>
  <c r="D13" i="6"/>
  <c r="D21" i="6"/>
  <c r="D29" i="6"/>
  <c r="D48" i="6"/>
  <c r="D6" i="6"/>
  <c r="D22" i="6"/>
  <c r="D80" i="6"/>
  <c r="D88" i="6"/>
  <c r="D16" i="6"/>
  <c r="D24" i="6"/>
  <c r="D28" i="6"/>
  <c r="C46" i="9"/>
  <c r="E46" i="9" s="1"/>
  <c r="F46" i="9"/>
  <c r="A135" i="8"/>
  <c r="H49" i="5"/>
  <c r="D73" i="5"/>
  <c r="A11" i="5"/>
  <c r="A6" i="6"/>
  <c r="D87" i="6"/>
  <c r="D12" i="6"/>
  <c r="D8" i="6"/>
  <c r="D8" i="1"/>
  <c r="D6" i="1"/>
  <c r="D7" i="1"/>
  <c r="A134" i="8"/>
  <c r="D20" i="6"/>
  <c r="D4" i="6"/>
  <c r="E66" i="6" l="1"/>
  <c r="E47" i="6"/>
  <c r="C4" i="1"/>
  <c r="E3" i="6"/>
  <c r="E76" i="6"/>
  <c r="D14" i="9"/>
  <c r="D15" i="9"/>
  <c r="E15" i="9" s="1"/>
  <c r="D17" i="9"/>
  <c r="E17" i="9" s="1"/>
  <c r="D16" i="9"/>
  <c r="E16" i="9" s="1"/>
  <c r="D13" i="9"/>
  <c r="E13" i="9" s="1"/>
  <c r="A15" i="5"/>
  <c r="A10" i="6"/>
  <c r="A9" i="6"/>
  <c r="A14" i="5"/>
  <c r="D63" i="6"/>
  <c r="D67" i="6" s="1"/>
  <c r="D92" i="6"/>
  <c r="H73" i="5"/>
  <c r="G73" i="5"/>
  <c r="H72" i="5"/>
  <c r="G72" i="5"/>
  <c r="D74" i="5"/>
  <c r="A136" i="8"/>
  <c r="E14" i="9"/>
  <c r="D21" i="9" l="1"/>
  <c r="C21" i="9"/>
  <c r="A16" i="5"/>
  <c r="A11" i="6"/>
  <c r="A137" i="8"/>
  <c r="H74" i="5"/>
  <c r="G74" i="5"/>
  <c r="D75" i="5"/>
  <c r="A12" i="6" l="1"/>
  <c r="A17" i="5"/>
  <c r="E21" i="9"/>
  <c r="C23" i="9" s="1"/>
  <c r="C6" i="7"/>
  <c r="D6" i="7" s="1"/>
  <c r="A138" i="8"/>
  <c r="N6" i="7" l="1"/>
  <c r="F6" i="7"/>
  <c r="C7" i="7"/>
  <c r="D7" i="7" s="1"/>
  <c r="E6" i="7"/>
  <c r="A13" i="6"/>
  <c r="A18" i="5"/>
  <c r="A139" i="8"/>
  <c r="C8" i="7" l="1"/>
  <c r="D8" i="7" s="1"/>
  <c r="E7" i="7"/>
  <c r="F7" i="7"/>
  <c r="N7" i="7"/>
  <c r="G6" i="7"/>
  <c r="H6" i="7"/>
  <c r="A19" i="5"/>
  <c r="A14" i="6"/>
  <c r="A140" i="8"/>
  <c r="A15" i="6" l="1"/>
  <c r="A20" i="5"/>
  <c r="A141" i="8"/>
  <c r="H7" i="7"/>
  <c r="G7" i="7"/>
  <c r="I6" i="7"/>
  <c r="N8" i="7"/>
  <c r="F8" i="7"/>
  <c r="C9" i="7"/>
  <c r="D9" i="7" s="1"/>
  <c r="E8" i="7"/>
  <c r="A16" i="6" l="1"/>
  <c r="A21" i="5"/>
  <c r="A142" i="8"/>
  <c r="G8" i="7"/>
  <c r="H8" i="7"/>
  <c r="C10" i="7"/>
  <c r="D10" i="7" s="1"/>
  <c r="E9" i="7"/>
  <c r="F9" i="7"/>
  <c r="N9" i="7"/>
  <c r="I7" i="7"/>
  <c r="H9" i="7" l="1"/>
  <c r="G9" i="7"/>
  <c r="N10" i="7"/>
  <c r="F10" i="7"/>
  <c r="C11" i="7"/>
  <c r="D11" i="7" s="1"/>
  <c r="E10" i="7"/>
  <c r="I8" i="7"/>
  <c r="A22" i="5"/>
  <c r="A17" i="6"/>
  <c r="A143" i="8"/>
  <c r="C12" i="7" l="1"/>
  <c r="D12" i="7" s="1"/>
  <c r="E11" i="7"/>
  <c r="N11" i="7"/>
  <c r="F11" i="7"/>
  <c r="G10" i="7"/>
  <c r="H10" i="7"/>
  <c r="I9" i="7"/>
  <c r="A23" i="5"/>
  <c r="A18" i="6"/>
  <c r="A144" i="8"/>
  <c r="A19" i="6" l="1"/>
  <c r="A24" i="5"/>
  <c r="A145" i="8"/>
  <c r="I10" i="7"/>
  <c r="H11" i="7"/>
  <c r="G11" i="7"/>
  <c r="N12" i="7"/>
  <c r="F12" i="7"/>
  <c r="C13" i="7"/>
  <c r="D13" i="7" s="1"/>
  <c r="E12" i="7"/>
  <c r="G12" i="7" l="1"/>
  <c r="H12" i="7"/>
  <c r="I11" i="7"/>
  <c r="A20" i="6"/>
  <c r="A25" i="5"/>
  <c r="A146" i="8"/>
  <c r="C14" i="7"/>
  <c r="D14" i="7" s="1"/>
  <c r="E13" i="7"/>
  <c r="N13" i="7"/>
  <c r="F13" i="7"/>
  <c r="N14" i="7" l="1"/>
  <c r="F14" i="7"/>
  <c r="C15" i="7"/>
  <c r="D15" i="7" s="1"/>
  <c r="E14" i="7"/>
  <c r="A21" i="6"/>
  <c r="A26" i="5"/>
  <c r="A147" i="8"/>
  <c r="I12" i="7"/>
  <c r="H13" i="7"/>
  <c r="G13" i="7"/>
  <c r="G14" i="7" l="1"/>
  <c r="H14" i="7"/>
  <c r="I13" i="7"/>
  <c r="A27" i="5"/>
  <c r="A22" i="6"/>
  <c r="A148" i="8"/>
  <c r="C16" i="7"/>
  <c r="D16" i="7" s="1"/>
  <c r="E15" i="7"/>
  <c r="F15" i="7"/>
  <c r="N15" i="7"/>
  <c r="H15" i="7" l="1"/>
  <c r="G15" i="7"/>
  <c r="N16" i="7"/>
  <c r="F16" i="7"/>
  <c r="C17" i="7"/>
  <c r="D17" i="7" s="1"/>
  <c r="E16" i="7"/>
  <c r="I14" i="7"/>
  <c r="A23" i="6"/>
  <c r="A28" i="5"/>
  <c r="A149" i="8"/>
  <c r="C18" i="7" l="1"/>
  <c r="D18" i="7" s="1"/>
  <c r="E17" i="7"/>
  <c r="F17" i="7"/>
  <c r="N17" i="7"/>
  <c r="G16" i="7"/>
  <c r="H16" i="7"/>
  <c r="I15" i="7"/>
  <c r="A24" i="6"/>
  <c r="A29" i="5"/>
  <c r="A150" i="8"/>
  <c r="I16" i="7" l="1"/>
  <c r="A25" i="6"/>
  <c r="A30" i="5"/>
  <c r="A151" i="8"/>
  <c r="H17" i="7"/>
  <c r="G17" i="7"/>
  <c r="N18" i="7"/>
  <c r="F18" i="7"/>
  <c r="C19" i="7"/>
  <c r="D19" i="7" s="1"/>
  <c r="E18" i="7"/>
  <c r="G18" i="7" l="1"/>
  <c r="H18" i="7"/>
  <c r="I17" i="7"/>
  <c r="C20" i="7"/>
  <c r="D20" i="7" s="1"/>
  <c r="E19" i="7"/>
  <c r="N19" i="7"/>
  <c r="F19" i="7"/>
  <c r="A31" i="5"/>
  <c r="A26" i="6"/>
  <c r="A152" i="8"/>
  <c r="N20" i="7" l="1"/>
  <c r="F20" i="7"/>
  <c r="C21" i="7"/>
  <c r="D21" i="7" s="1"/>
  <c r="E20" i="7"/>
  <c r="A27" i="6"/>
  <c r="A32" i="5"/>
  <c r="A153" i="8"/>
  <c r="I18" i="7"/>
  <c r="H19" i="7"/>
  <c r="G19" i="7"/>
  <c r="C22" i="7" l="1"/>
  <c r="D22" i="7" s="1"/>
  <c r="E21" i="7"/>
  <c r="N21" i="7"/>
  <c r="F21" i="7"/>
  <c r="G20" i="7"/>
  <c r="H20" i="7"/>
  <c r="I19" i="7"/>
  <c r="A28" i="6"/>
  <c r="A33" i="5"/>
  <c r="A154" i="8"/>
  <c r="A29" i="6" l="1"/>
  <c r="A34" i="5"/>
  <c r="A155" i="8"/>
  <c r="H21" i="7"/>
  <c r="G21" i="7"/>
  <c r="I20" i="7"/>
  <c r="N22" i="7"/>
  <c r="F22" i="7"/>
  <c r="C23" i="7"/>
  <c r="D23" i="7" s="1"/>
  <c r="E22" i="7"/>
  <c r="G22" i="7" l="1"/>
  <c r="H22" i="7"/>
  <c r="A35" i="5"/>
  <c r="A30" i="6"/>
  <c r="B127" i="8"/>
  <c r="C24" i="7"/>
  <c r="D24" i="7" s="1"/>
  <c r="E23" i="7"/>
  <c r="F23" i="7"/>
  <c r="N23" i="7"/>
  <c r="I21" i="7"/>
  <c r="N24" i="7" l="1"/>
  <c r="F24" i="7"/>
  <c r="C25" i="7"/>
  <c r="D25" i="7" s="1"/>
  <c r="E24" i="7"/>
  <c r="H23" i="7"/>
  <c r="G23" i="7"/>
  <c r="G997" i="2"/>
  <c r="G995" i="2"/>
  <c r="G993" i="2"/>
  <c r="G991" i="2"/>
  <c r="G989" i="2"/>
  <c r="G987" i="2"/>
  <c r="G985" i="2"/>
  <c r="G983" i="2"/>
  <c r="G981" i="2"/>
  <c r="G979" i="2"/>
  <c r="G977" i="2"/>
  <c r="G975" i="2"/>
  <c r="G973" i="2"/>
  <c r="G971" i="2"/>
  <c r="G969" i="2"/>
  <c r="G967" i="2"/>
  <c r="G965" i="2"/>
  <c r="G963" i="2"/>
  <c r="G961" i="2"/>
  <c r="G959" i="2"/>
  <c r="G957" i="2"/>
  <c r="G955" i="2"/>
  <c r="G953" i="2"/>
  <c r="G951" i="2"/>
  <c r="G949" i="2"/>
  <c r="G947" i="2"/>
  <c r="G945" i="2"/>
  <c r="G943" i="2"/>
  <c r="G941" i="2"/>
  <c r="G939" i="2"/>
  <c r="G937" i="2"/>
  <c r="G935" i="2"/>
  <c r="G933" i="2"/>
  <c r="G931" i="2"/>
  <c r="G929" i="2"/>
  <c r="G927" i="2"/>
  <c r="G925" i="2"/>
  <c r="G923" i="2"/>
  <c r="G921" i="2"/>
  <c r="G919" i="2"/>
  <c r="G917" i="2"/>
  <c r="G915" i="2"/>
  <c r="G913" i="2"/>
  <c r="G911" i="2"/>
  <c r="G909" i="2"/>
  <c r="G907" i="2"/>
  <c r="G905" i="2"/>
  <c r="G903" i="2"/>
  <c r="G901" i="2"/>
  <c r="G899" i="2"/>
  <c r="G897" i="2"/>
  <c r="G895" i="2"/>
  <c r="G893" i="2"/>
  <c r="G891" i="2"/>
  <c r="G889" i="2"/>
  <c r="G887" i="2"/>
  <c r="G885" i="2"/>
  <c r="G883" i="2"/>
  <c r="G881" i="2"/>
  <c r="G879" i="2"/>
  <c r="G877" i="2"/>
  <c r="G875" i="2"/>
  <c r="G873" i="2"/>
  <c r="G871" i="2"/>
  <c r="G869" i="2"/>
  <c r="G867" i="2"/>
  <c r="G865" i="2"/>
  <c r="G863" i="2"/>
  <c r="G861" i="2"/>
  <c r="G859" i="2"/>
  <c r="G857" i="2"/>
  <c r="G855" i="2"/>
  <c r="G853" i="2"/>
  <c r="G851" i="2"/>
  <c r="G849" i="2"/>
  <c r="G847" i="2"/>
  <c r="G845" i="2"/>
  <c r="G843" i="2"/>
  <c r="G841" i="2"/>
  <c r="G839" i="2"/>
  <c r="G837" i="2"/>
  <c r="G835" i="2"/>
  <c r="G833" i="2"/>
  <c r="G831" i="2"/>
  <c r="G829" i="2"/>
  <c r="G827" i="2"/>
  <c r="G825" i="2"/>
  <c r="G823" i="2"/>
  <c r="G821" i="2"/>
  <c r="G819" i="2"/>
  <c r="G817" i="2"/>
  <c r="G815" i="2"/>
  <c r="G813" i="2"/>
  <c r="G811" i="2"/>
  <c r="G809" i="2"/>
  <c r="G807" i="2"/>
  <c r="G805" i="2"/>
  <c r="G803" i="2"/>
  <c r="G801" i="2"/>
  <c r="G799" i="2"/>
  <c r="G797" i="2"/>
  <c r="G795" i="2"/>
  <c r="G793" i="2"/>
  <c r="G791" i="2"/>
  <c r="G789" i="2"/>
  <c r="G787" i="2"/>
  <c r="G785" i="2"/>
  <c r="G783" i="2"/>
  <c r="G781" i="2"/>
  <c r="G779" i="2"/>
  <c r="G777" i="2"/>
  <c r="G775" i="2"/>
  <c r="G773" i="2"/>
  <c r="G771" i="2"/>
  <c r="G769" i="2"/>
  <c r="G767" i="2"/>
  <c r="G765" i="2"/>
  <c r="G763" i="2"/>
  <c r="G761" i="2"/>
  <c r="G759" i="2"/>
  <c r="G757" i="2"/>
  <c r="G755" i="2"/>
  <c r="G753" i="2"/>
  <c r="G751" i="2"/>
  <c r="G749" i="2"/>
  <c r="G747" i="2"/>
  <c r="G745" i="2"/>
  <c r="G743" i="2"/>
  <c r="G741" i="2"/>
  <c r="G739" i="2"/>
  <c r="G737" i="2"/>
  <c r="G735" i="2"/>
  <c r="G733" i="2"/>
  <c r="G731" i="2"/>
  <c r="G729" i="2"/>
  <c r="G727" i="2"/>
  <c r="G725" i="2"/>
  <c r="G723" i="2"/>
  <c r="G721" i="2"/>
  <c r="G719" i="2"/>
  <c r="G717" i="2"/>
  <c r="G715" i="2"/>
  <c r="G713" i="2"/>
  <c r="G711" i="2"/>
  <c r="G709" i="2"/>
  <c r="G707" i="2"/>
  <c r="G705" i="2"/>
  <c r="G703" i="2"/>
  <c r="G701" i="2"/>
  <c r="G699" i="2"/>
  <c r="G697" i="2"/>
  <c r="G695" i="2"/>
  <c r="G693" i="2"/>
  <c r="G691" i="2"/>
  <c r="G689" i="2"/>
  <c r="G687" i="2"/>
  <c r="G685" i="2"/>
  <c r="G683" i="2"/>
  <c r="G681" i="2"/>
  <c r="G679" i="2"/>
  <c r="G677" i="2"/>
  <c r="G675" i="2"/>
  <c r="G673" i="2"/>
  <c r="G671" i="2"/>
  <c r="G669" i="2"/>
  <c r="G667" i="2"/>
  <c r="G665" i="2"/>
  <c r="G663" i="2"/>
  <c r="G661" i="2"/>
  <c r="G659" i="2"/>
  <c r="G657" i="2"/>
  <c r="G655" i="2"/>
  <c r="G653" i="2"/>
  <c r="G651" i="2"/>
  <c r="G649" i="2"/>
  <c r="G647" i="2"/>
  <c r="G645" i="2"/>
  <c r="G643" i="2"/>
  <c r="G641" i="2"/>
  <c r="G639" i="2"/>
  <c r="G637" i="2"/>
  <c r="G635" i="2"/>
  <c r="G633" i="2"/>
  <c r="G631" i="2"/>
  <c r="G629" i="2"/>
  <c r="G627" i="2"/>
  <c r="G625" i="2"/>
  <c r="G623" i="2"/>
  <c r="G621" i="2"/>
  <c r="G619" i="2"/>
  <c r="G617" i="2"/>
  <c r="G615" i="2"/>
  <c r="G613" i="2"/>
  <c r="G611" i="2"/>
  <c r="G609" i="2"/>
  <c r="G607" i="2"/>
  <c r="G605" i="2"/>
  <c r="G603" i="2"/>
  <c r="G601" i="2"/>
  <c r="G599" i="2"/>
  <c r="G597" i="2"/>
  <c r="G595" i="2"/>
  <c r="G593" i="2"/>
  <c r="G591" i="2"/>
  <c r="G589" i="2"/>
  <c r="G587" i="2"/>
  <c r="G585" i="2"/>
  <c r="G583" i="2"/>
  <c r="G581" i="2"/>
  <c r="G579" i="2"/>
  <c r="G577" i="2"/>
  <c r="G575" i="2"/>
  <c r="G573" i="2"/>
  <c r="G571" i="2"/>
  <c r="G569" i="2"/>
  <c r="G567" i="2"/>
  <c r="G565" i="2"/>
  <c r="G563" i="2"/>
  <c r="G561" i="2"/>
  <c r="G559" i="2"/>
  <c r="G557" i="2"/>
  <c r="G555" i="2"/>
  <c r="G553" i="2"/>
  <c r="G551" i="2"/>
  <c r="G549" i="2"/>
  <c r="G547" i="2"/>
  <c r="G545" i="2"/>
  <c r="G543" i="2"/>
  <c r="G541" i="2"/>
  <c r="G539" i="2"/>
  <c r="G537" i="2"/>
  <c r="G535" i="2"/>
  <c r="G533" i="2"/>
  <c r="G531" i="2"/>
  <c r="G529" i="2"/>
  <c r="G527" i="2"/>
  <c r="G525" i="2"/>
  <c r="G523" i="2"/>
  <c r="G521" i="2"/>
  <c r="G519" i="2"/>
  <c r="G517" i="2"/>
  <c r="G515" i="2"/>
  <c r="G513" i="2"/>
  <c r="G511" i="2"/>
  <c r="G509" i="2"/>
  <c r="G507" i="2"/>
  <c r="G505" i="2"/>
  <c r="G503" i="2"/>
  <c r="G501" i="2"/>
  <c r="G499" i="2"/>
  <c r="G497" i="2"/>
  <c r="G495" i="2"/>
  <c r="G493" i="2"/>
  <c r="G491" i="2"/>
  <c r="G489" i="2"/>
  <c r="G487" i="2"/>
  <c r="G485" i="2"/>
  <c r="G483" i="2"/>
  <c r="G481" i="2"/>
  <c r="G479" i="2"/>
  <c r="G477" i="2"/>
  <c r="G475" i="2"/>
  <c r="G473" i="2"/>
  <c r="G471" i="2"/>
  <c r="G469" i="2"/>
  <c r="G467" i="2"/>
  <c r="G465" i="2"/>
  <c r="G463" i="2"/>
  <c r="G461" i="2"/>
  <c r="G459" i="2"/>
  <c r="G457" i="2"/>
  <c r="G455" i="2"/>
  <c r="G453" i="2"/>
  <c r="G451" i="2"/>
  <c r="G449" i="2"/>
  <c r="G447" i="2"/>
  <c r="G445" i="2"/>
  <c r="G443" i="2"/>
  <c r="G441" i="2"/>
  <c r="G439" i="2"/>
  <c r="G437" i="2"/>
  <c r="G435" i="2"/>
  <c r="G433" i="2"/>
  <c r="G431" i="2"/>
  <c r="G429" i="2"/>
  <c r="G427" i="2"/>
  <c r="G425" i="2"/>
  <c r="G423" i="2"/>
  <c r="G421" i="2"/>
  <c r="G419" i="2"/>
  <c r="G417" i="2"/>
  <c r="G415" i="2"/>
  <c r="G413" i="2"/>
  <c r="G411" i="2"/>
  <c r="G409" i="2"/>
  <c r="G407" i="2"/>
  <c r="G405" i="2"/>
  <c r="G403" i="2"/>
  <c r="G401" i="2"/>
  <c r="G399" i="2"/>
  <c r="G397" i="2"/>
  <c r="G395" i="2"/>
  <c r="G393" i="2"/>
  <c r="G391" i="2"/>
  <c r="G389" i="2"/>
  <c r="G387" i="2"/>
  <c r="G385" i="2"/>
  <c r="G383" i="2"/>
  <c r="G381" i="2"/>
  <c r="G379" i="2"/>
  <c r="G377" i="2"/>
  <c r="G375" i="2"/>
  <c r="G373" i="2"/>
  <c r="G371" i="2"/>
  <c r="G369" i="2"/>
  <c r="G367" i="2"/>
  <c r="G365" i="2"/>
  <c r="G363" i="2"/>
  <c r="G361" i="2"/>
  <c r="G359" i="2"/>
  <c r="G357" i="2"/>
  <c r="G355" i="2"/>
  <c r="G353" i="2"/>
  <c r="G351" i="2"/>
  <c r="G349" i="2"/>
  <c r="G347" i="2"/>
  <c r="G345" i="2"/>
  <c r="G343" i="2"/>
  <c r="G341" i="2"/>
  <c r="G339" i="2"/>
  <c r="G337" i="2"/>
  <c r="G335" i="2"/>
  <c r="G333" i="2"/>
  <c r="G331" i="2"/>
  <c r="G329" i="2"/>
  <c r="G570" i="2"/>
  <c r="G556" i="2"/>
  <c r="G550" i="2"/>
  <c r="G544" i="2"/>
  <c r="G538" i="2"/>
  <c r="G532" i="2"/>
  <c r="G526" i="2"/>
  <c r="G520" i="2"/>
  <c r="G514" i="2"/>
  <c r="G508" i="2"/>
  <c r="G502" i="2"/>
  <c r="G496" i="2"/>
  <c r="G490" i="2"/>
  <c r="G484" i="2"/>
  <c r="G478" i="2"/>
  <c r="G474" i="2"/>
  <c r="G468" i="2"/>
  <c r="G462" i="2"/>
  <c r="G456" i="2"/>
  <c r="G450" i="2"/>
  <c r="G444" i="2"/>
  <c r="G438" i="2"/>
  <c r="G432" i="2"/>
  <c r="G426" i="2"/>
  <c r="G420" i="2"/>
  <c r="G414" i="2"/>
  <c r="G406" i="2"/>
  <c r="G400" i="2"/>
  <c r="G394" i="2"/>
  <c r="G390" i="2"/>
  <c r="G382" i="2"/>
  <c r="G378" i="2"/>
  <c r="G372" i="2"/>
  <c r="G366" i="2"/>
  <c r="G358" i="2"/>
  <c r="G352" i="2"/>
  <c r="G346" i="2"/>
  <c r="G340" i="2"/>
  <c r="G332" i="2"/>
  <c r="G700" i="2"/>
  <c r="G696" i="2"/>
  <c r="G692" i="2"/>
  <c r="G688" i="2"/>
  <c r="G684" i="2"/>
  <c r="G680" i="2"/>
  <c r="G676" i="2"/>
  <c r="G672" i="2"/>
  <c r="G668" i="2"/>
  <c r="G662" i="2"/>
  <c r="G658" i="2"/>
  <c r="G654" i="2"/>
  <c r="G650" i="2"/>
  <c r="G646" i="2"/>
  <c r="G642" i="2"/>
  <c r="G638" i="2"/>
  <c r="G634" i="2"/>
  <c r="G630" i="2"/>
  <c r="G626" i="2"/>
  <c r="G622" i="2"/>
  <c r="G618" i="2"/>
  <c r="G614" i="2"/>
  <c r="G610" i="2"/>
  <c r="G606" i="2"/>
  <c r="G602" i="2"/>
  <c r="G598" i="2"/>
  <c r="G594" i="2"/>
  <c r="G590" i="2"/>
  <c r="G586" i="2"/>
  <c r="G582" i="2"/>
  <c r="G578" i="2"/>
  <c r="G574" i="2"/>
  <c r="G568" i="2"/>
  <c r="G562" i="2"/>
  <c r="G558" i="2"/>
  <c r="G554" i="2"/>
  <c r="G548" i="2"/>
  <c r="G542" i="2"/>
  <c r="G536" i="2"/>
  <c r="G530" i="2"/>
  <c r="G522" i="2"/>
  <c r="G516" i="2"/>
  <c r="G510" i="2"/>
  <c r="G504" i="2"/>
  <c r="G498" i="2"/>
  <c r="G492" i="2"/>
  <c r="G486" i="2"/>
  <c r="G480" i="2"/>
  <c r="G472" i="2"/>
  <c r="G466" i="2"/>
  <c r="G460" i="2"/>
  <c r="G454" i="2"/>
  <c r="G448" i="2"/>
  <c r="G442" i="2"/>
  <c r="G436" i="2"/>
  <c r="G430" i="2"/>
  <c r="G424" i="2"/>
  <c r="G418" i="2"/>
  <c r="G412" i="2"/>
  <c r="G408" i="2"/>
  <c r="G402" i="2"/>
  <c r="G396" i="2"/>
  <c r="G388" i="2"/>
  <c r="G384" i="2"/>
  <c r="G376" i="2"/>
  <c r="G370" i="2"/>
  <c r="G364" i="2"/>
  <c r="G356" i="2"/>
  <c r="G350" i="2"/>
  <c r="G344" i="2"/>
  <c r="G338" i="2"/>
  <c r="G336" i="2"/>
  <c r="G330" i="2"/>
  <c r="G996" i="2"/>
  <c r="G994" i="2"/>
  <c r="G992" i="2"/>
  <c r="G990" i="2"/>
  <c r="G988" i="2"/>
  <c r="G986" i="2"/>
  <c r="G984" i="2"/>
  <c r="G982" i="2"/>
  <c r="G980" i="2"/>
  <c r="G978" i="2"/>
  <c r="G976" i="2"/>
  <c r="G974" i="2"/>
  <c r="G972" i="2"/>
  <c r="G970" i="2"/>
  <c r="G968" i="2"/>
  <c r="G966" i="2"/>
  <c r="G964" i="2"/>
  <c r="G962" i="2"/>
  <c r="G960" i="2"/>
  <c r="G958" i="2"/>
  <c r="G956" i="2"/>
  <c r="G954" i="2"/>
  <c r="G952" i="2"/>
  <c r="G950" i="2"/>
  <c r="G948" i="2"/>
  <c r="G946" i="2"/>
  <c r="G944" i="2"/>
  <c r="G942" i="2"/>
  <c r="G940" i="2"/>
  <c r="G938" i="2"/>
  <c r="G936" i="2"/>
  <c r="G934" i="2"/>
  <c r="G932" i="2"/>
  <c r="G930" i="2"/>
  <c r="G928" i="2"/>
  <c r="G926" i="2"/>
  <c r="G924" i="2"/>
  <c r="G922" i="2"/>
  <c r="G920" i="2"/>
  <c r="G918" i="2"/>
  <c r="G916" i="2"/>
  <c r="G914" i="2"/>
  <c r="G912" i="2"/>
  <c r="G910" i="2"/>
  <c r="G908" i="2"/>
  <c r="G906" i="2"/>
  <c r="G904" i="2"/>
  <c r="G902" i="2"/>
  <c r="G900" i="2"/>
  <c r="G898" i="2"/>
  <c r="G896" i="2"/>
  <c r="G894" i="2"/>
  <c r="G892" i="2"/>
  <c r="G890" i="2"/>
  <c r="G888" i="2"/>
  <c r="G886" i="2"/>
  <c r="G884" i="2"/>
  <c r="G882" i="2"/>
  <c r="G880" i="2"/>
  <c r="G878" i="2"/>
  <c r="G876" i="2"/>
  <c r="G874" i="2"/>
  <c r="G872" i="2"/>
  <c r="G870" i="2"/>
  <c r="G868" i="2"/>
  <c r="G866" i="2"/>
  <c r="G864" i="2"/>
  <c r="G862" i="2"/>
  <c r="G860" i="2"/>
  <c r="G858" i="2"/>
  <c r="G856" i="2"/>
  <c r="G854" i="2"/>
  <c r="G852" i="2"/>
  <c r="G850" i="2"/>
  <c r="G848" i="2"/>
  <c r="G846" i="2"/>
  <c r="G844" i="2"/>
  <c r="G842" i="2"/>
  <c r="G840" i="2"/>
  <c r="G838" i="2"/>
  <c r="G836" i="2"/>
  <c r="G834" i="2"/>
  <c r="G832" i="2"/>
  <c r="G830" i="2"/>
  <c r="G828" i="2"/>
  <c r="G826" i="2"/>
  <c r="G824" i="2"/>
  <c r="G822" i="2"/>
  <c r="G820" i="2"/>
  <c r="G818" i="2"/>
  <c r="G816" i="2"/>
  <c r="G814" i="2"/>
  <c r="G812" i="2"/>
  <c r="G810" i="2"/>
  <c r="G808" i="2"/>
  <c r="G806" i="2"/>
  <c r="G804" i="2"/>
  <c r="G802" i="2"/>
  <c r="G800" i="2"/>
  <c r="G798" i="2"/>
  <c r="G796" i="2"/>
  <c r="G794" i="2"/>
  <c r="G792" i="2"/>
  <c r="G790" i="2"/>
  <c r="G788" i="2"/>
  <c r="G786" i="2"/>
  <c r="G784" i="2"/>
  <c r="G782" i="2"/>
  <c r="G780" i="2"/>
  <c r="G778" i="2"/>
  <c r="G776" i="2"/>
  <c r="G774" i="2"/>
  <c r="G772" i="2"/>
  <c r="G770" i="2"/>
  <c r="G768" i="2"/>
  <c r="G766" i="2"/>
  <c r="G764" i="2"/>
  <c r="G762" i="2"/>
  <c r="G760" i="2"/>
  <c r="G758" i="2"/>
  <c r="G756" i="2"/>
  <c r="G754" i="2"/>
  <c r="G752" i="2"/>
  <c r="G750" i="2"/>
  <c r="G748" i="2"/>
  <c r="G746" i="2"/>
  <c r="G744" i="2"/>
  <c r="G742" i="2"/>
  <c r="G740" i="2"/>
  <c r="G738" i="2"/>
  <c r="G736" i="2"/>
  <c r="G734" i="2"/>
  <c r="G732" i="2"/>
  <c r="G730" i="2"/>
  <c r="G728" i="2"/>
  <c r="G726" i="2"/>
  <c r="G724" i="2"/>
  <c r="G722" i="2"/>
  <c r="G720" i="2"/>
  <c r="G718" i="2"/>
  <c r="G716" i="2"/>
  <c r="G714" i="2"/>
  <c r="G712" i="2"/>
  <c r="G710" i="2"/>
  <c r="G708" i="2"/>
  <c r="G706" i="2"/>
  <c r="G704" i="2"/>
  <c r="G702" i="2"/>
  <c r="G698" i="2"/>
  <c r="G694" i="2"/>
  <c r="G690" i="2"/>
  <c r="G686" i="2"/>
  <c r="G682" i="2"/>
  <c r="G678" i="2"/>
  <c r="G674" i="2"/>
  <c r="G670" i="2"/>
  <c r="G666" i="2"/>
  <c r="G664" i="2"/>
  <c r="G660" i="2"/>
  <c r="G656" i="2"/>
  <c r="G652" i="2"/>
  <c r="G648" i="2"/>
  <c r="G644" i="2"/>
  <c r="G640" i="2"/>
  <c r="G636" i="2"/>
  <c r="G632" i="2"/>
  <c r="G628" i="2"/>
  <c r="G624" i="2"/>
  <c r="G620" i="2"/>
  <c r="G616" i="2"/>
  <c r="G612" i="2"/>
  <c r="G608" i="2"/>
  <c r="G604" i="2"/>
  <c r="G600" i="2"/>
  <c r="G596" i="2"/>
  <c r="G592" i="2"/>
  <c r="G588" i="2"/>
  <c r="G584" i="2"/>
  <c r="G580" i="2"/>
  <c r="G576" i="2"/>
  <c r="G572" i="2"/>
  <c r="G566" i="2"/>
  <c r="G564" i="2"/>
  <c r="G560" i="2"/>
  <c r="G552" i="2"/>
  <c r="G546" i="2"/>
  <c r="G540" i="2"/>
  <c r="G534" i="2"/>
  <c r="G528" i="2"/>
  <c r="G524" i="2"/>
  <c r="G518" i="2"/>
  <c r="G512" i="2"/>
  <c r="G506" i="2"/>
  <c r="G500" i="2"/>
  <c r="G494" i="2"/>
  <c r="G488" i="2"/>
  <c r="G482" i="2"/>
  <c r="G476" i="2"/>
  <c r="G470" i="2"/>
  <c r="G464" i="2"/>
  <c r="G458" i="2"/>
  <c r="G452" i="2"/>
  <c r="G446" i="2"/>
  <c r="G440" i="2"/>
  <c r="G434" i="2"/>
  <c r="G428" i="2"/>
  <c r="G422" i="2"/>
  <c r="G416" i="2"/>
  <c r="G410" i="2"/>
  <c r="G404" i="2"/>
  <c r="G398" i="2"/>
  <c r="G392" i="2"/>
  <c r="G386" i="2"/>
  <c r="G380" i="2"/>
  <c r="G374" i="2"/>
  <c r="G368" i="2"/>
  <c r="G362" i="2"/>
  <c r="G360" i="2"/>
  <c r="G354" i="2"/>
  <c r="G348" i="2"/>
  <c r="G342" i="2"/>
  <c r="G334" i="2"/>
  <c r="G328" i="2"/>
  <c r="E44" i="6"/>
  <c r="E68" i="6" s="1"/>
  <c r="E69" i="6" s="1"/>
  <c r="E70" i="6" s="1"/>
  <c r="H44" i="6"/>
  <c r="H68" i="6" s="1"/>
  <c r="H69" i="6" s="1"/>
  <c r="H70" i="6" s="1"/>
  <c r="D44" i="6"/>
  <c r="D68" i="6" s="1"/>
  <c r="D69" i="6" s="1"/>
  <c r="D70" i="6" s="1"/>
  <c r="G44" i="6"/>
  <c r="I22" i="7"/>
  <c r="G68" i="6" l="1"/>
  <c r="G69" i="6" s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I23" i="7"/>
  <c r="C26" i="7"/>
  <c r="D26" i="7" s="1"/>
  <c r="M25" i="7"/>
  <c r="E25" i="7"/>
  <c r="O25" i="7"/>
  <c r="F25" i="7"/>
  <c r="N25" i="7"/>
  <c r="G24" i="7"/>
  <c r="H24" i="7"/>
  <c r="M24" i="7"/>
  <c r="O26" i="7" l="1"/>
  <c r="N26" i="7"/>
  <c r="F26" i="7"/>
  <c r="C27" i="7"/>
  <c r="D27" i="7" s="1"/>
  <c r="M26" i="7"/>
  <c r="E26" i="7"/>
  <c r="I24" i="7"/>
  <c r="H25" i="7"/>
  <c r="G25" i="7"/>
  <c r="G70" i="6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G26" i="7" l="1"/>
  <c r="H26" i="7"/>
  <c r="C28" i="7"/>
  <c r="D28" i="7" s="1"/>
  <c r="M27" i="7"/>
  <c r="E27" i="7"/>
  <c r="O27" i="7"/>
  <c r="N27" i="7"/>
  <c r="F27" i="7"/>
  <c r="I25" i="7"/>
  <c r="H27" i="7" l="1"/>
  <c r="G27" i="7"/>
  <c r="I26" i="7"/>
  <c r="O28" i="7"/>
  <c r="N28" i="7"/>
  <c r="F28" i="7"/>
  <c r="C29" i="7"/>
  <c r="D29" i="7" s="1"/>
  <c r="M28" i="7"/>
  <c r="E28" i="7"/>
  <c r="G28" i="7" l="1"/>
  <c r="H28" i="7"/>
  <c r="C30" i="7"/>
  <c r="D30" i="7" s="1"/>
  <c r="M29" i="7"/>
  <c r="E29" i="7"/>
  <c r="O29" i="7"/>
  <c r="N29" i="7"/>
  <c r="F29" i="7"/>
  <c r="I27" i="7"/>
  <c r="O30" i="7" l="1"/>
  <c r="N30" i="7"/>
  <c r="F30" i="7"/>
  <c r="C31" i="7"/>
  <c r="D31" i="7" s="1"/>
  <c r="M30" i="7"/>
  <c r="E30" i="7"/>
  <c r="H29" i="7"/>
  <c r="G29" i="7"/>
  <c r="I28" i="7"/>
  <c r="C32" i="7" l="1"/>
  <c r="D32" i="7" s="1"/>
  <c r="M31" i="7"/>
  <c r="E31" i="7"/>
  <c r="O31" i="7"/>
  <c r="F31" i="7"/>
  <c r="N31" i="7"/>
  <c r="I29" i="7"/>
  <c r="G30" i="7"/>
  <c r="H30" i="7"/>
  <c r="H31" i="7" l="1"/>
  <c r="G31" i="7"/>
  <c r="I30" i="7"/>
  <c r="O32" i="7"/>
  <c r="N32" i="7"/>
  <c r="F32" i="7"/>
  <c r="C33" i="7"/>
  <c r="D33" i="7" s="1"/>
  <c r="M32" i="7"/>
  <c r="E32" i="7"/>
  <c r="G32" i="7" l="1"/>
  <c r="H32" i="7"/>
  <c r="C34" i="7"/>
  <c r="D34" i="7" s="1"/>
  <c r="M33" i="7"/>
  <c r="E33" i="7"/>
  <c r="O33" i="7"/>
  <c r="F33" i="7"/>
  <c r="N33" i="7"/>
  <c r="I31" i="7"/>
  <c r="O34" i="7" l="1"/>
  <c r="N34" i="7"/>
  <c r="F34" i="7"/>
  <c r="C35" i="7"/>
  <c r="D35" i="7" s="1"/>
  <c r="M34" i="7"/>
  <c r="E34" i="7"/>
  <c r="H33" i="7"/>
  <c r="G33" i="7"/>
  <c r="I32" i="7"/>
  <c r="I33" i="7" l="1"/>
  <c r="G34" i="7"/>
  <c r="H34" i="7"/>
  <c r="C36" i="7"/>
  <c r="D36" i="7" s="1"/>
  <c r="M35" i="7"/>
  <c r="E35" i="7"/>
  <c r="O35" i="7"/>
  <c r="N35" i="7"/>
  <c r="F35" i="7"/>
  <c r="O36" i="7" l="1"/>
  <c r="N36" i="7"/>
  <c r="F36" i="7"/>
  <c r="C37" i="7"/>
  <c r="D37" i="7" s="1"/>
  <c r="M36" i="7"/>
  <c r="E36" i="7"/>
  <c r="I34" i="7"/>
  <c r="H35" i="7"/>
  <c r="G35" i="7"/>
  <c r="C38" i="7" l="1"/>
  <c r="D38" i="7" s="1"/>
  <c r="M37" i="7"/>
  <c r="E37" i="7"/>
  <c r="O37" i="7"/>
  <c r="N37" i="7"/>
  <c r="F37" i="7"/>
  <c r="I35" i="7"/>
  <c r="G36" i="7"/>
  <c r="H36" i="7"/>
  <c r="H37" i="7" l="1"/>
  <c r="G37" i="7"/>
  <c r="I36" i="7"/>
  <c r="O38" i="7"/>
  <c r="N38" i="7"/>
  <c r="F38" i="7"/>
  <c r="C39" i="7"/>
  <c r="D39" i="7" s="1"/>
  <c r="M38" i="7"/>
  <c r="E38" i="7"/>
  <c r="G38" i="7" l="1"/>
  <c r="H38" i="7"/>
  <c r="I37" i="7"/>
  <c r="C40" i="7"/>
  <c r="D40" i="7" s="1"/>
  <c r="M39" i="7"/>
  <c r="E39" i="7"/>
  <c r="O39" i="7"/>
  <c r="F39" i="7"/>
  <c r="N39" i="7"/>
  <c r="H39" i="7" l="1"/>
  <c r="G39" i="7"/>
  <c r="O40" i="7"/>
  <c r="N40" i="7"/>
  <c r="F40" i="7"/>
  <c r="C41" i="7"/>
  <c r="D41" i="7" s="1"/>
  <c r="M40" i="7"/>
  <c r="E40" i="7"/>
  <c r="I38" i="7"/>
  <c r="C42" i="7" l="1"/>
  <c r="D42" i="7" s="1"/>
  <c r="M41" i="7"/>
  <c r="E41" i="7"/>
  <c r="O41" i="7"/>
  <c r="F41" i="7"/>
  <c r="N41" i="7"/>
  <c r="I39" i="7"/>
  <c r="G40" i="7"/>
  <c r="H40" i="7"/>
  <c r="H41" i="7" l="1"/>
  <c r="G41" i="7"/>
  <c r="I40" i="7"/>
  <c r="O42" i="7"/>
  <c r="N42" i="7"/>
  <c r="F42" i="7"/>
  <c r="C43" i="7"/>
  <c r="D43" i="7" s="1"/>
  <c r="M42" i="7"/>
  <c r="E42" i="7"/>
  <c r="G42" i="7" l="1"/>
  <c r="H42" i="7"/>
  <c r="C44" i="7"/>
  <c r="D44" i="7" s="1"/>
  <c r="M43" i="7"/>
  <c r="E43" i="7"/>
  <c r="O43" i="7"/>
  <c r="N43" i="7"/>
  <c r="F43" i="7"/>
  <c r="I41" i="7"/>
  <c r="O44" i="7" l="1"/>
  <c r="N44" i="7"/>
  <c r="F44" i="7"/>
  <c r="C45" i="7"/>
  <c r="D45" i="7" s="1"/>
  <c r="M44" i="7"/>
  <c r="E44" i="7"/>
  <c r="H43" i="7"/>
  <c r="G43" i="7"/>
  <c r="I42" i="7"/>
  <c r="C46" i="7" l="1"/>
  <c r="D46" i="7" s="1"/>
  <c r="M45" i="7"/>
  <c r="E45" i="7"/>
  <c r="O45" i="7"/>
  <c r="N45" i="7"/>
  <c r="F45" i="7"/>
  <c r="I43" i="7"/>
  <c r="G44" i="7"/>
  <c r="H44" i="7"/>
  <c r="I44" i="7" l="1"/>
  <c r="H45" i="7"/>
  <c r="G45" i="7"/>
  <c r="O46" i="7"/>
  <c r="N46" i="7"/>
  <c r="F46" i="7"/>
  <c r="C47" i="7"/>
  <c r="D47" i="7" s="1"/>
  <c r="M46" i="7"/>
  <c r="E46" i="7"/>
  <c r="G46" i="7" l="1"/>
  <c r="H46" i="7"/>
  <c r="I45" i="7"/>
  <c r="C48" i="7"/>
  <c r="D48" i="7" s="1"/>
  <c r="M47" i="7"/>
  <c r="E47" i="7"/>
  <c r="O47" i="7"/>
  <c r="F47" i="7"/>
  <c r="N47" i="7"/>
  <c r="H47" i="7" l="1"/>
  <c r="G47" i="7"/>
  <c r="O48" i="7"/>
  <c r="N48" i="7"/>
  <c r="F48" i="7"/>
  <c r="C49" i="7"/>
  <c r="D49" i="7" s="1"/>
  <c r="M48" i="7"/>
  <c r="E48" i="7"/>
  <c r="I46" i="7"/>
  <c r="C50" i="7" l="1"/>
  <c r="D50" i="7" s="1"/>
  <c r="M49" i="7"/>
  <c r="E49" i="7"/>
  <c r="O49" i="7"/>
  <c r="F49" i="7"/>
  <c r="N49" i="7"/>
  <c r="I47" i="7"/>
  <c r="G48" i="7"/>
  <c r="H48" i="7"/>
  <c r="H49" i="7" l="1"/>
  <c r="G49" i="7"/>
  <c r="I48" i="7"/>
  <c r="O50" i="7"/>
  <c r="N50" i="7"/>
  <c r="F50" i="7"/>
  <c r="C51" i="7"/>
  <c r="D51" i="7" s="1"/>
  <c r="M50" i="7"/>
  <c r="E50" i="7"/>
  <c r="G50" i="7" l="1"/>
  <c r="H50" i="7"/>
  <c r="I49" i="7"/>
  <c r="C52" i="7"/>
  <c r="D52" i="7" s="1"/>
  <c r="M51" i="7"/>
  <c r="E51" i="7"/>
  <c r="O51" i="7"/>
  <c r="N51" i="7"/>
  <c r="F51" i="7"/>
  <c r="H51" i="7" l="1"/>
  <c r="G51" i="7"/>
  <c r="O52" i="7"/>
  <c r="N52" i="7"/>
  <c r="F52" i="7"/>
  <c r="C53" i="7"/>
  <c r="D53" i="7" s="1"/>
  <c r="M52" i="7"/>
  <c r="E52" i="7"/>
  <c r="I50" i="7"/>
  <c r="I51" i="7" l="1"/>
  <c r="C54" i="7"/>
  <c r="D54" i="7" s="1"/>
  <c r="M53" i="7"/>
  <c r="E53" i="7"/>
  <c r="O53" i="7"/>
  <c r="N53" i="7"/>
  <c r="F53" i="7"/>
  <c r="G52" i="7"/>
  <c r="H52" i="7"/>
  <c r="I52" i="7" l="1"/>
  <c r="O54" i="7"/>
  <c r="N54" i="7"/>
  <c r="F54" i="7"/>
  <c r="C55" i="7"/>
  <c r="D55" i="7" s="1"/>
  <c r="M54" i="7"/>
  <c r="E54" i="7"/>
  <c r="H53" i="7"/>
  <c r="G53" i="7"/>
  <c r="G54" i="7" l="1"/>
  <c r="H54" i="7"/>
  <c r="I53" i="7"/>
  <c r="C56" i="7"/>
  <c r="D56" i="7" s="1"/>
  <c r="M55" i="7"/>
  <c r="E55" i="7"/>
  <c r="O55" i="7"/>
  <c r="F55" i="7"/>
  <c r="N55" i="7"/>
  <c r="H55" i="7" l="1"/>
  <c r="G55" i="7"/>
  <c r="O56" i="7"/>
  <c r="N56" i="7"/>
  <c r="F56" i="7"/>
  <c r="C57" i="7"/>
  <c r="D57" i="7" s="1"/>
  <c r="M56" i="7"/>
  <c r="E56" i="7"/>
  <c r="I54" i="7"/>
  <c r="C58" i="7" l="1"/>
  <c r="D58" i="7" s="1"/>
  <c r="M57" i="7"/>
  <c r="E57" i="7"/>
  <c r="O57" i="7"/>
  <c r="F57" i="7"/>
  <c r="N57" i="7"/>
  <c r="I55" i="7"/>
  <c r="G56" i="7"/>
  <c r="H56" i="7"/>
  <c r="H57" i="7" l="1"/>
  <c r="G57" i="7"/>
  <c r="I56" i="7"/>
  <c r="O58" i="7"/>
  <c r="N58" i="7"/>
  <c r="F58" i="7"/>
  <c r="C59" i="7"/>
  <c r="D59" i="7" s="1"/>
  <c r="M58" i="7"/>
  <c r="E58" i="7"/>
  <c r="G58" i="7" l="1"/>
  <c r="H58" i="7"/>
  <c r="I57" i="7"/>
  <c r="C60" i="7"/>
  <c r="D60" i="7" s="1"/>
  <c r="M59" i="7"/>
  <c r="E59" i="7"/>
  <c r="O59" i="7"/>
  <c r="N59" i="7"/>
  <c r="F59" i="7"/>
  <c r="O60" i="7" l="1"/>
  <c r="N60" i="7"/>
  <c r="F60" i="7"/>
  <c r="C61" i="7"/>
  <c r="D61" i="7" s="1"/>
  <c r="M60" i="7"/>
  <c r="E60" i="7"/>
  <c r="H59" i="7"/>
  <c r="G59" i="7"/>
  <c r="I58" i="7"/>
  <c r="G60" i="7" l="1"/>
  <c r="H60" i="7"/>
  <c r="I59" i="7"/>
  <c r="C62" i="7"/>
  <c r="D62" i="7" s="1"/>
  <c r="M61" i="7"/>
  <c r="E61" i="7"/>
  <c r="O61" i="7"/>
  <c r="N61" i="7"/>
  <c r="F61" i="7"/>
  <c r="O62" i="7" l="1"/>
  <c r="N62" i="7"/>
  <c r="F62" i="7"/>
  <c r="C63" i="7"/>
  <c r="D63" i="7" s="1"/>
  <c r="M62" i="7"/>
  <c r="E62" i="7"/>
  <c r="H61" i="7"/>
  <c r="G61" i="7"/>
  <c r="I60" i="7"/>
  <c r="G62" i="7" l="1"/>
  <c r="H62" i="7"/>
  <c r="I61" i="7"/>
  <c r="C64" i="7"/>
  <c r="D64" i="7" s="1"/>
  <c r="M63" i="7"/>
  <c r="E63" i="7"/>
  <c r="O63" i="7"/>
  <c r="F63" i="7"/>
  <c r="N63" i="7"/>
  <c r="H63" i="7" l="1"/>
  <c r="G63" i="7"/>
  <c r="O64" i="7"/>
  <c r="N64" i="7"/>
  <c r="F64" i="7"/>
  <c r="C65" i="7"/>
  <c r="D65" i="7" s="1"/>
  <c r="M64" i="7"/>
  <c r="E64" i="7"/>
  <c r="I62" i="7"/>
  <c r="C66" i="7" l="1"/>
  <c r="D66" i="7" s="1"/>
  <c r="M65" i="7"/>
  <c r="E65" i="7"/>
  <c r="O65" i="7"/>
  <c r="F65" i="7"/>
  <c r="N65" i="7"/>
  <c r="G64" i="7"/>
  <c r="H64" i="7"/>
  <c r="I63" i="7"/>
  <c r="I64" i="7" l="1"/>
  <c r="H65" i="7"/>
  <c r="G65" i="7"/>
  <c r="O66" i="7"/>
  <c r="N66" i="7"/>
  <c r="F66" i="7"/>
  <c r="C67" i="7"/>
  <c r="D67" i="7" s="1"/>
  <c r="M66" i="7"/>
  <c r="E66" i="7"/>
  <c r="G66" i="7" l="1"/>
  <c r="H66" i="7"/>
  <c r="I65" i="7"/>
  <c r="C68" i="7"/>
  <c r="D68" i="7" s="1"/>
  <c r="M67" i="7"/>
  <c r="E67" i="7"/>
  <c r="O67" i="7"/>
  <c r="N67" i="7"/>
  <c r="F67" i="7"/>
  <c r="H67" i="7" l="1"/>
  <c r="G67" i="7"/>
  <c r="O68" i="7"/>
  <c r="N68" i="7"/>
  <c r="F68" i="7"/>
  <c r="C69" i="7"/>
  <c r="D69" i="7" s="1"/>
  <c r="M68" i="7"/>
  <c r="E68" i="7"/>
  <c r="I66" i="7"/>
  <c r="C70" i="7" l="1"/>
  <c r="D70" i="7" s="1"/>
  <c r="M69" i="7"/>
  <c r="E69" i="7"/>
  <c r="O69" i="7"/>
  <c r="N69" i="7"/>
  <c r="F69" i="7"/>
  <c r="I67" i="7"/>
  <c r="G68" i="7"/>
  <c r="H68" i="7"/>
  <c r="H69" i="7" l="1"/>
  <c r="G69" i="7"/>
  <c r="I68" i="7"/>
  <c r="O70" i="7"/>
  <c r="N70" i="7"/>
  <c r="F70" i="7"/>
  <c r="C71" i="7"/>
  <c r="D71" i="7" s="1"/>
  <c r="M70" i="7"/>
  <c r="E70" i="7"/>
  <c r="G70" i="7" l="1"/>
  <c r="H70" i="7"/>
  <c r="C72" i="7"/>
  <c r="D72" i="7" s="1"/>
  <c r="M71" i="7"/>
  <c r="E71" i="7"/>
  <c r="O71" i="7"/>
  <c r="F71" i="7"/>
  <c r="N71" i="7"/>
  <c r="I69" i="7"/>
  <c r="O72" i="7" l="1"/>
  <c r="N72" i="7"/>
  <c r="F72" i="7"/>
  <c r="C73" i="7"/>
  <c r="D73" i="7" s="1"/>
  <c r="M72" i="7"/>
  <c r="E72" i="7"/>
  <c r="H71" i="7"/>
  <c r="G71" i="7"/>
  <c r="I70" i="7"/>
  <c r="C74" i="7" l="1"/>
  <c r="D74" i="7" s="1"/>
  <c r="M73" i="7"/>
  <c r="E73" i="7"/>
  <c r="O73" i="7"/>
  <c r="F73" i="7"/>
  <c r="N73" i="7"/>
  <c r="I71" i="7"/>
  <c r="G72" i="7"/>
  <c r="H72" i="7"/>
  <c r="H73" i="7" l="1"/>
  <c r="G73" i="7"/>
  <c r="I72" i="7"/>
  <c r="O74" i="7"/>
  <c r="N74" i="7"/>
  <c r="F74" i="7"/>
  <c r="C75" i="7"/>
  <c r="D75" i="7" s="1"/>
  <c r="M74" i="7"/>
  <c r="E74" i="7"/>
  <c r="G74" i="7" l="1"/>
  <c r="H74" i="7"/>
  <c r="C76" i="7"/>
  <c r="D76" i="7" s="1"/>
  <c r="M75" i="7"/>
  <c r="E75" i="7"/>
  <c r="O75" i="7"/>
  <c r="N75" i="7"/>
  <c r="F75" i="7"/>
  <c r="I73" i="7"/>
  <c r="O76" i="7" l="1"/>
  <c r="N76" i="7"/>
  <c r="F76" i="7"/>
  <c r="C77" i="7"/>
  <c r="D77" i="7" s="1"/>
  <c r="M76" i="7"/>
  <c r="E76" i="7"/>
  <c r="H75" i="7"/>
  <c r="G75" i="7"/>
  <c r="I74" i="7"/>
  <c r="C78" i="7" l="1"/>
  <c r="D78" i="7" s="1"/>
  <c r="M77" i="7"/>
  <c r="E77" i="7"/>
  <c r="O77" i="7"/>
  <c r="N77" i="7"/>
  <c r="F77" i="7"/>
  <c r="G76" i="7"/>
  <c r="H76" i="7"/>
  <c r="I75" i="7"/>
  <c r="I76" i="7" l="1"/>
  <c r="H77" i="7"/>
  <c r="G77" i="7"/>
  <c r="O78" i="7"/>
  <c r="N78" i="7"/>
  <c r="F78" i="7"/>
  <c r="C79" i="7"/>
  <c r="D79" i="7" s="1"/>
  <c r="M78" i="7"/>
  <c r="E78" i="7"/>
  <c r="G78" i="7" l="1"/>
  <c r="H78" i="7"/>
  <c r="I77" i="7"/>
  <c r="C80" i="7"/>
  <c r="D80" i="7" s="1"/>
  <c r="M79" i="7"/>
  <c r="E79" i="7"/>
  <c r="O79" i="7"/>
  <c r="F79" i="7"/>
  <c r="N79" i="7"/>
  <c r="H79" i="7" l="1"/>
  <c r="G79" i="7"/>
  <c r="O80" i="7"/>
  <c r="N80" i="7"/>
  <c r="F80" i="7"/>
  <c r="C81" i="7"/>
  <c r="D81" i="7" s="1"/>
  <c r="M80" i="7"/>
  <c r="E80" i="7"/>
  <c r="I78" i="7"/>
  <c r="C82" i="7" l="1"/>
  <c r="D82" i="7" s="1"/>
  <c r="M81" i="7"/>
  <c r="E81" i="7"/>
  <c r="O81" i="7"/>
  <c r="F81" i="7"/>
  <c r="N81" i="7"/>
  <c r="I79" i="7"/>
  <c r="G80" i="7"/>
  <c r="H80" i="7"/>
  <c r="H81" i="7" l="1"/>
  <c r="G81" i="7"/>
  <c r="I80" i="7"/>
  <c r="O82" i="7"/>
  <c r="N82" i="7"/>
  <c r="F82" i="7"/>
  <c r="C83" i="7"/>
  <c r="D83" i="7" s="1"/>
  <c r="M82" i="7"/>
  <c r="E82" i="7"/>
  <c r="G82" i="7" l="1"/>
  <c r="H82" i="7"/>
  <c r="C84" i="7"/>
  <c r="D84" i="7" s="1"/>
  <c r="M83" i="7"/>
  <c r="E83" i="7"/>
  <c r="O83" i="7"/>
  <c r="N83" i="7"/>
  <c r="F83" i="7"/>
  <c r="I81" i="7"/>
  <c r="O84" i="7" l="1"/>
  <c r="N84" i="7"/>
  <c r="F84" i="7"/>
  <c r="C85" i="7"/>
  <c r="D85" i="7" s="1"/>
  <c r="M84" i="7"/>
  <c r="E84" i="7"/>
  <c r="H83" i="7"/>
  <c r="G83" i="7"/>
  <c r="I82" i="7"/>
  <c r="C86" i="7" l="1"/>
  <c r="D86" i="7" s="1"/>
  <c r="M85" i="7"/>
  <c r="E85" i="7"/>
  <c r="O85" i="7"/>
  <c r="N85" i="7"/>
  <c r="F85" i="7"/>
  <c r="I83" i="7"/>
  <c r="G84" i="7"/>
  <c r="H84" i="7"/>
  <c r="H85" i="7" l="1"/>
  <c r="G85" i="7"/>
  <c r="I84" i="7"/>
  <c r="O86" i="7"/>
  <c r="N86" i="7"/>
  <c r="F86" i="7"/>
  <c r="C87" i="7"/>
  <c r="D87" i="7" s="1"/>
  <c r="M86" i="7"/>
  <c r="E86" i="7"/>
  <c r="G86" i="7" l="1"/>
  <c r="H86" i="7"/>
  <c r="I85" i="7"/>
  <c r="C88" i="7"/>
  <c r="D88" i="7" s="1"/>
  <c r="M87" i="7"/>
  <c r="E87" i="7"/>
  <c r="O87" i="7"/>
  <c r="F87" i="7"/>
  <c r="N87" i="7"/>
  <c r="O88" i="7" l="1"/>
  <c r="N88" i="7"/>
  <c r="F88" i="7"/>
  <c r="C89" i="7"/>
  <c r="D89" i="7" s="1"/>
  <c r="M88" i="7"/>
  <c r="E88" i="7"/>
  <c r="H87" i="7"/>
  <c r="G87" i="7"/>
  <c r="I86" i="7"/>
  <c r="G88" i="7" l="1"/>
  <c r="H88" i="7"/>
  <c r="I87" i="7"/>
  <c r="C90" i="7"/>
  <c r="D90" i="7" s="1"/>
  <c r="M89" i="7"/>
  <c r="E89" i="7"/>
  <c r="O89" i="7"/>
  <c r="F89" i="7"/>
  <c r="N89" i="7"/>
  <c r="O90" i="7" l="1"/>
  <c r="N90" i="7"/>
  <c r="F90" i="7"/>
  <c r="C91" i="7"/>
  <c r="D91" i="7" s="1"/>
  <c r="M90" i="7"/>
  <c r="E90" i="7"/>
  <c r="I88" i="7"/>
  <c r="H89" i="7"/>
  <c r="G89" i="7"/>
  <c r="I89" i="7" l="1"/>
  <c r="G90" i="7"/>
  <c r="H90" i="7"/>
  <c r="C92" i="7"/>
  <c r="D92" i="7" s="1"/>
  <c r="M91" i="7"/>
  <c r="E91" i="7"/>
  <c r="O91" i="7"/>
  <c r="N91" i="7"/>
  <c r="F91" i="7"/>
  <c r="O92" i="7" l="1"/>
  <c r="N92" i="7"/>
  <c r="F92" i="7"/>
  <c r="C93" i="7"/>
  <c r="D93" i="7" s="1"/>
  <c r="M92" i="7"/>
  <c r="E92" i="7"/>
  <c r="I90" i="7"/>
  <c r="H91" i="7"/>
  <c r="G91" i="7"/>
  <c r="C94" i="7" l="1"/>
  <c r="D94" i="7" s="1"/>
  <c r="M93" i="7"/>
  <c r="E93" i="7"/>
  <c r="O93" i="7"/>
  <c r="N93" i="7"/>
  <c r="F93" i="7"/>
  <c r="I91" i="7"/>
  <c r="G92" i="7"/>
  <c r="H92" i="7"/>
  <c r="H93" i="7" l="1"/>
  <c r="G93" i="7"/>
  <c r="I92" i="7"/>
  <c r="O94" i="7"/>
  <c r="N94" i="7"/>
  <c r="F94" i="7"/>
  <c r="C95" i="7"/>
  <c r="D95" i="7" s="1"/>
  <c r="M94" i="7"/>
  <c r="E94" i="7"/>
  <c r="G94" i="7" l="1"/>
  <c r="H94" i="7"/>
  <c r="I93" i="7"/>
  <c r="C96" i="7"/>
  <c r="D96" i="7" s="1"/>
  <c r="M95" i="7"/>
  <c r="E95" i="7"/>
  <c r="O95" i="7"/>
  <c r="N95" i="7"/>
  <c r="F95" i="7"/>
  <c r="O96" i="7" l="1"/>
  <c r="N96" i="7"/>
  <c r="F96" i="7"/>
  <c r="C97" i="7"/>
  <c r="D97" i="7" s="1"/>
  <c r="M96" i="7"/>
  <c r="E96" i="7"/>
  <c r="H95" i="7"/>
  <c r="G95" i="7"/>
  <c r="I94" i="7"/>
  <c r="G96" i="7" l="1"/>
  <c r="H96" i="7"/>
  <c r="I95" i="7"/>
  <c r="C98" i="7"/>
  <c r="D98" i="7" s="1"/>
  <c r="M97" i="7"/>
  <c r="E97" i="7"/>
  <c r="O97" i="7"/>
  <c r="N97" i="7"/>
  <c r="F97" i="7"/>
  <c r="O98" i="7" l="1"/>
  <c r="N98" i="7"/>
  <c r="F98" i="7"/>
  <c r="C99" i="7"/>
  <c r="D99" i="7" s="1"/>
  <c r="M98" i="7"/>
  <c r="E98" i="7"/>
  <c r="I96" i="7"/>
  <c r="H97" i="7"/>
  <c r="G97" i="7"/>
  <c r="I97" i="7" l="1"/>
  <c r="G98" i="7"/>
  <c r="H98" i="7"/>
  <c r="O99" i="7"/>
  <c r="M99" i="7"/>
  <c r="E99" i="7"/>
  <c r="C100" i="7"/>
  <c r="D100" i="7" s="1"/>
  <c r="N99" i="7"/>
  <c r="F99" i="7"/>
  <c r="I98" i="7" l="1"/>
  <c r="C101" i="7"/>
  <c r="D101" i="7" s="1"/>
  <c r="M100" i="7"/>
  <c r="E100" i="7"/>
  <c r="O100" i="7"/>
  <c r="N100" i="7"/>
  <c r="F100" i="7"/>
  <c r="H99" i="7"/>
  <c r="G99" i="7"/>
  <c r="O101" i="7" l="1"/>
  <c r="C102" i="7"/>
  <c r="D102" i="7" s="1"/>
  <c r="F101" i="7"/>
  <c r="E101" i="7"/>
  <c r="N101" i="7"/>
  <c r="M101" i="7"/>
  <c r="I99" i="7"/>
  <c r="H100" i="7"/>
  <c r="G100" i="7"/>
  <c r="I100" i="7" l="1"/>
  <c r="C103" i="7"/>
  <c r="D103" i="7" s="1"/>
  <c r="M102" i="7"/>
  <c r="E102" i="7"/>
  <c r="N102" i="7"/>
  <c r="F102" i="7"/>
  <c r="O102" i="7"/>
  <c r="G101" i="7"/>
  <c r="H101" i="7"/>
  <c r="O103" i="7" l="1"/>
  <c r="E103" i="7"/>
  <c r="N103" i="7"/>
  <c r="M103" i="7"/>
  <c r="C104" i="7"/>
  <c r="D104" i="7" s="1"/>
  <c r="F103" i="7"/>
  <c r="I101" i="7"/>
  <c r="H102" i="7"/>
  <c r="G102" i="7"/>
  <c r="I102" i="7" l="1"/>
  <c r="G103" i="7"/>
  <c r="H103" i="7"/>
  <c r="C105" i="7"/>
  <c r="D105" i="7" s="1"/>
  <c r="M104" i="7"/>
  <c r="E104" i="7"/>
  <c r="F104" i="7"/>
  <c r="O104" i="7"/>
  <c r="N104" i="7"/>
  <c r="O105" i="7" l="1"/>
  <c r="N105" i="7"/>
  <c r="M105" i="7"/>
  <c r="C106" i="7"/>
  <c r="D106" i="7" s="1"/>
  <c r="F105" i="7"/>
  <c r="E105" i="7"/>
  <c r="I103" i="7"/>
  <c r="G104" i="7"/>
  <c r="H104" i="7"/>
  <c r="C107" i="7" l="1"/>
  <c r="D107" i="7" s="1"/>
  <c r="M106" i="7"/>
  <c r="E106" i="7"/>
  <c r="F106" i="7"/>
  <c r="O106" i="7"/>
  <c r="N106" i="7"/>
  <c r="G105" i="7"/>
  <c r="H105" i="7"/>
  <c r="I104" i="7"/>
  <c r="H106" i="7" l="1"/>
  <c r="G106" i="7"/>
  <c r="I105" i="7"/>
  <c r="O107" i="7"/>
  <c r="M107" i="7"/>
  <c r="C108" i="7"/>
  <c r="D108" i="7" s="1"/>
  <c r="F107" i="7"/>
  <c r="E107" i="7"/>
  <c r="N107" i="7"/>
  <c r="G107" i="7" l="1"/>
  <c r="H107" i="7"/>
  <c r="I106" i="7"/>
  <c r="C109" i="7"/>
  <c r="D109" i="7" s="1"/>
  <c r="M108" i="7"/>
  <c r="E108" i="7"/>
  <c r="O108" i="7"/>
  <c r="N108" i="7"/>
  <c r="F108" i="7"/>
  <c r="O109" i="7" l="1"/>
  <c r="C110" i="7"/>
  <c r="D110" i="7" s="1"/>
  <c r="F109" i="7"/>
  <c r="E109" i="7"/>
  <c r="N109" i="7"/>
  <c r="M109" i="7"/>
  <c r="H108" i="7"/>
  <c r="G108" i="7"/>
  <c r="I107" i="7"/>
  <c r="C111" i="7" l="1"/>
  <c r="D111" i="7" s="1"/>
  <c r="M110" i="7"/>
  <c r="E110" i="7"/>
  <c r="N110" i="7"/>
  <c r="F110" i="7"/>
  <c r="O110" i="7"/>
  <c r="G109" i="7"/>
  <c r="H109" i="7"/>
  <c r="I108" i="7"/>
  <c r="H110" i="7" l="1"/>
  <c r="G110" i="7"/>
  <c r="I109" i="7"/>
  <c r="O111" i="7"/>
  <c r="E111" i="7"/>
  <c r="N111" i="7"/>
  <c r="M111" i="7"/>
  <c r="C112" i="7"/>
  <c r="D112" i="7" s="1"/>
  <c r="F111" i="7"/>
  <c r="C113" i="7" l="1"/>
  <c r="D113" i="7" s="1"/>
  <c r="M112" i="7"/>
  <c r="E112" i="7"/>
  <c r="F112" i="7"/>
  <c r="O112" i="7"/>
  <c r="N112" i="7"/>
  <c r="G111" i="7"/>
  <c r="H111" i="7"/>
  <c r="I110" i="7"/>
  <c r="I111" i="7" l="1"/>
  <c r="G112" i="7"/>
  <c r="H112" i="7"/>
  <c r="O113" i="7"/>
  <c r="N113" i="7"/>
  <c r="M113" i="7"/>
  <c r="C114" i="7"/>
  <c r="D114" i="7" s="1"/>
  <c r="F113" i="7"/>
  <c r="E113" i="7"/>
  <c r="G113" i="7" l="1"/>
  <c r="H113" i="7"/>
  <c r="I112" i="7"/>
  <c r="C115" i="7"/>
  <c r="D115" i="7" s="1"/>
  <c r="M114" i="7"/>
  <c r="E114" i="7"/>
  <c r="F114" i="7"/>
  <c r="O114" i="7"/>
  <c r="N114" i="7"/>
  <c r="O115" i="7" l="1"/>
  <c r="M115" i="7"/>
  <c r="C116" i="7"/>
  <c r="D116" i="7" s="1"/>
  <c r="F115" i="7"/>
  <c r="E115" i="7"/>
  <c r="N115" i="7"/>
  <c r="H114" i="7"/>
  <c r="G114" i="7"/>
  <c r="I113" i="7"/>
  <c r="C117" i="7" l="1"/>
  <c r="D117" i="7" s="1"/>
  <c r="M116" i="7"/>
  <c r="E116" i="7"/>
  <c r="O116" i="7"/>
  <c r="N116" i="7"/>
  <c r="F116" i="7"/>
  <c r="I114" i="7"/>
  <c r="G115" i="7"/>
  <c r="H115" i="7"/>
  <c r="H116" i="7" l="1"/>
  <c r="G116" i="7"/>
  <c r="O117" i="7"/>
  <c r="C118" i="7"/>
  <c r="D118" i="7" s="1"/>
  <c r="F117" i="7"/>
  <c r="E117" i="7"/>
  <c r="N117" i="7"/>
  <c r="M117" i="7"/>
  <c r="I115" i="7"/>
  <c r="G117" i="7" l="1"/>
  <c r="H117" i="7"/>
  <c r="I116" i="7"/>
  <c r="C119" i="7"/>
  <c r="D119" i="7" s="1"/>
  <c r="M118" i="7"/>
  <c r="E118" i="7"/>
  <c r="N118" i="7"/>
  <c r="F118" i="7"/>
  <c r="O118" i="7"/>
  <c r="O119" i="7" l="1"/>
  <c r="E119" i="7"/>
  <c r="N119" i="7"/>
  <c r="M119" i="7"/>
  <c r="C120" i="7"/>
  <c r="D120" i="7" s="1"/>
  <c r="F119" i="7"/>
  <c r="H118" i="7"/>
  <c r="G118" i="7"/>
  <c r="I117" i="7"/>
  <c r="G119" i="7" l="1"/>
  <c r="H119" i="7"/>
  <c r="I118" i="7"/>
  <c r="C121" i="7"/>
  <c r="D121" i="7" s="1"/>
  <c r="M120" i="7"/>
  <c r="E120" i="7"/>
  <c r="F120" i="7"/>
  <c r="O120" i="7"/>
  <c r="N120" i="7"/>
  <c r="O121" i="7" l="1"/>
  <c r="N121" i="7"/>
  <c r="M121" i="7"/>
  <c r="C122" i="7"/>
  <c r="D122" i="7" s="1"/>
  <c r="F121" i="7"/>
  <c r="E121" i="7"/>
  <c r="G120" i="7"/>
  <c r="H120" i="7"/>
  <c r="I119" i="7"/>
  <c r="C123" i="7" l="1"/>
  <c r="D123" i="7" s="1"/>
  <c r="M122" i="7"/>
  <c r="E122" i="7"/>
  <c r="O122" i="7"/>
  <c r="F122" i="7"/>
  <c r="N122" i="7"/>
  <c r="G121" i="7"/>
  <c r="H121" i="7"/>
  <c r="I120" i="7"/>
  <c r="H122" i="7" l="1"/>
  <c r="G122" i="7"/>
  <c r="I121" i="7"/>
  <c r="O123" i="7"/>
  <c r="C124" i="7"/>
  <c r="D124" i="7" s="1"/>
  <c r="M123" i="7"/>
  <c r="E123" i="7"/>
  <c r="N123" i="7"/>
  <c r="F123" i="7"/>
  <c r="I122" i="7" l="1"/>
  <c r="C125" i="7"/>
  <c r="D125" i="7" s="1"/>
  <c r="M124" i="7"/>
  <c r="E124" i="7"/>
  <c r="O124" i="7"/>
  <c r="N124" i="7"/>
  <c r="F124" i="7"/>
  <c r="G123" i="7"/>
  <c r="H123" i="7"/>
  <c r="O125" i="7" l="1"/>
  <c r="N125" i="7"/>
  <c r="C126" i="7"/>
  <c r="D126" i="7" s="1"/>
  <c r="M125" i="7"/>
  <c r="E125" i="7"/>
  <c r="F125" i="7"/>
  <c r="G124" i="7"/>
  <c r="H124" i="7"/>
  <c r="I123" i="7"/>
  <c r="I124" i="7" l="1"/>
  <c r="C127" i="7"/>
  <c r="D127" i="7" s="1"/>
  <c r="M126" i="7"/>
  <c r="E126" i="7"/>
  <c r="O126" i="7"/>
  <c r="N126" i="7"/>
  <c r="F126" i="7"/>
  <c r="G125" i="7"/>
  <c r="H125" i="7"/>
  <c r="O127" i="7" l="1"/>
  <c r="N127" i="7"/>
  <c r="F127" i="7"/>
  <c r="C128" i="7"/>
  <c r="D128" i="7" s="1"/>
  <c r="M127" i="7"/>
  <c r="E127" i="7"/>
  <c r="I125" i="7"/>
  <c r="H126" i="7"/>
  <c r="G126" i="7"/>
  <c r="C129" i="7" l="1"/>
  <c r="D129" i="7" s="1"/>
  <c r="M128" i="7"/>
  <c r="E128" i="7"/>
  <c r="O128" i="7"/>
  <c r="N128" i="7"/>
  <c r="F128" i="7"/>
  <c r="I126" i="7"/>
  <c r="G127" i="7"/>
  <c r="H127" i="7"/>
  <c r="O129" i="7" l="1"/>
  <c r="N129" i="7"/>
  <c r="F129" i="7"/>
  <c r="C130" i="7"/>
  <c r="D130" i="7" s="1"/>
  <c r="M129" i="7"/>
  <c r="E129" i="7"/>
  <c r="H128" i="7"/>
  <c r="G128" i="7"/>
  <c r="I127" i="7"/>
  <c r="G129" i="7" l="1"/>
  <c r="H129" i="7"/>
  <c r="I128" i="7"/>
  <c r="C131" i="7"/>
  <c r="D131" i="7" s="1"/>
  <c r="M130" i="7"/>
  <c r="E130" i="7"/>
  <c r="O130" i="7"/>
  <c r="F130" i="7"/>
  <c r="N130" i="7"/>
  <c r="O131" i="7" l="1"/>
  <c r="N131" i="7"/>
  <c r="F131" i="7"/>
  <c r="C132" i="7"/>
  <c r="D132" i="7" s="1"/>
  <c r="M131" i="7"/>
  <c r="E131" i="7"/>
  <c r="H130" i="7"/>
  <c r="G130" i="7"/>
  <c r="I129" i="7"/>
  <c r="C133" i="7" l="1"/>
  <c r="D133" i="7" s="1"/>
  <c r="M132" i="7"/>
  <c r="E132" i="7"/>
  <c r="O132" i="7"/>
  <c r="F132" i="7"/>
  <c r="N132" i="7"/>
  <c r="G131" i="7"/>
  <c r="H131" i="7"/>
  <c r="I130" i="7"/>
  <c r="I131" i="7" l="1"/>
  <c r="H132" i="7"/>
  <c r="G132" i="7"/>
  <c r="O133" i="7"/>
  <c r="N133" i="7"/>
  <c r="F133" i="7"/>
  <c r="C134" i="7"/>
  <c r="D134" i="7" s="1"/>
  <c r="M133" i="7"/>
  <c r="E133" i="7"/>
  <c r="G133" i="7" l="1"/>
  <c r="H133" i="7"/>
  <c r="C135" i="7"/>
  <c r="D135" i="7" s="1"/>
  <c r="M134" i="7"/>
  <c r="E134" i="7"/>
  <c r="O134" i="7"/>
  <c r="N134" i="7"/>
  <c r="F134" i="7"/>
  <c r="I132" i="7"/>
  <c r="O135" i="7" l="1"/>
  <c r="N135" i="7"/>
  <c r="F135" i="7"/>
  <c r="C136" i="7"/>
  <c r="D136" i="7" s="1"/>
  <c r="M135" i="7"/>
  <c r="E135" i="7"/>
  <c r="H134" i="7"/>
  <c r="G134" i="7"/>
  <c r="I133" i="7"/>
  <c r="I134" i="7" l="1"/>
  <c r="G135" i="7"/>
  <c r="H135" i="7"/>
  <c r="C137" i="7"/>
  <c r="D137" i="7" s="1"/>
  <c r="M136" i="7"/>
  <c r="E136" i="7"/>
  <c r="O136" i="7"/>
  <c r="N136" i="7"/>
  <c r="F136" i="7"/>
  <c r="O137" i="7" l="1"/>
  <c r="N137" i="7"/>
  <c r="F137" i="7"/>
  <c r="C138" i="7"/>
  <c r="D138" i="7" s="1"/>
  <c r="M137" i="7"/>
  <c r="E137" i="7"/>
  <c r="I135" i="7"/>
  <c r="H136" i="7"/>
  <c r="G136" i="7"/>
  <c r="C139" i="7" l="1"/>
  <c r="D139" i="7" s="1"/>
  <c r="M138" i="7"/>
  <c r="E138" i="7"/>
  <c r="O138" i="7"/>
  <c r="F138" i="7"/>
  <c r="N138" i="7"/>
  <c r="I136" i="7"/>
  <c r="G137" i="7"/>
  <c r="H137" i="7"/>
  <c r="H138" i="7" l="1"/>
  <c r="G138" i="7"/>
  <c r="I137" i="7"/>
  <c r="O139" i="7"/>
  <c r="N139" i="7"/>
  <c r="F139" i="7"/>
  <c r="C140" i="7"/>
  <c r="D140" i="7" s="1"/>
  <c r="M139" i="7"/>
  <c r="E139" i="7"/>
  <c r="G139" i="7" l="1"/>
  <c r="H139" i="7"/>
  <c r="I138" i="7"/>
  <c r="C141" i="7"/>
  <c r="D141" i="7" s="1"/>
  <c r="M140" i="7"/>
  <c r="E140" i="7"/>
  <c r="O140" i="7"/>
  <c r="F140" i="7"/>
  <c r="N140" i="7"/>
  <c r="O141" i="7" l="1"/>
  <c r="N141" i="7"/>
  <c r="F141" i="7"/>
  <c r="C142" i="7"/>
  <c r="D142" i="7" s="1"/>
  <c r="M141" i="7"/>
  <c r="E141" i="7"/>
  <c r="H140" i="7"/>
  <c r="G140" i="7"/>
  <c r="I139" i="7"/>
  <c r="C143" i="7" l="1"/>
  <c r="D143" i="7" s="1"/>
  <c r="M142" i="7"/>
  <c r="E142" i="7"/>
  <c r="O142" i="7"/>
  <c r="N142" i="7"/>
  <c r="F142" i="7"/>
  <c r="G141" i="7"/>
  <c r="H141" i="7"/>
  <c r="I140" i="7"/>
  <c r="I141" i="7" l="1"/>
  <c r="O143" i="7"/>
  <c r="N143" i="7"/>
  <c r="F143" i="7"/>
  <c r="C144" i="7"/>
  <c r="D144" i="7" s="1"/>
  <c r="M143" i="7"/>
  <c r="E143" i="7"/>
  <c r="H142" i="7"/>
  <c r="G142" i="7"/>
  <c r="G143" i="7" l="1"/>
  <c r="H143" i="7"/>
  <c r="I142" i="7"/>
  <c r="C145" i="7"/>
  <c r="D145" i="7" s="1"/>
  <c r="M144" i="7"/>
  <c r="E144" i="7"/>
  <c r="O144" i="7"/>
  <c r="N144" i="7"/>
  <c r="F144" i="7"/>
  <c r="H144" i="7" l="1"/>
  <c r="G144" i="7"/>
  <c r="O145" i="7"/>
  <c r="N145" i="7"/>
  <c r="F145" i="7"/>
  <c r="C146" i="7"/>
  <c r="D146" i="7" s="1"/>
  <c r="M145" i="7"/>
  <c r="E145" i="7"/>
  <c r="I143" i="7"/>
  <c r="C147" i="7" l="1"/>
  <c r="D147" i="7" s="1"/>
  <c r="M146" i="7"/>
  <c r="E146" i="7"/>
  <c r="O146" i="7"/>
  <c r="F146" i="7"/>
  <c r="N146" i="7"/>
  <c r="I144" i="7"/>
  <c r="G145" i="7"/>
  <c r="H145" i="7"/>
  <c r="H146" i="7" l="1"/>
  <c r="G146" i="7"/>
  <c r="I145" i="7"/>
  <c r="O147" i="7"/>
  <c r="N147" i="7"/>
  <c r="F147" i="7"/>
  <c r="C148" i="7"/>
  <c r="D148" i="7" s="1"/>
  <c r="M147" i="7"/>
  <c r="E147" i="7"/>
  <c r="G147" i="7" l="1"/>
  <c r="H147" i="7"/>
  <c r="C149" i="7"/>
  <c r="D149" i="7" s="1"/>
  <c r="M148" i="7"/>
  <c r="E148" i="7"/>
  <c r="O148" i="7"/>
  <c r="F148" i="7"/>
  <c r="N148" i="7"/>
  <c r="I146" i="7"/>
  <c r="O149" i="7" l="1"/>
  <c r="N149" i="7"/>
  <c r="F149" i="7"/>
  <c r="C150" i="7"/>
  <c r="D150" i="7" s="1"/>
  <c r="M149" i="7"/>
  <c r="E149" i="7"/>
  <c r="H148" i="7"/>
  <c r="G148" i="7"/>
  <c r="I147" i="7"/>
  <c r="C151" i="7" l="1"/>
  <c r="D151" i="7" s="1"/>
  <c r="M150" i="7"/>
  <c r="E150" i="7"/>
  <c r="O150" i="7"/>
  <c r="N150" i="7"/>
  <c r="F150" i="7"/>
  <c r="G149" i="7"/>
  <c r="H149" i="7"/>
  <c r="I148" i="7"/>
  <c r="H150" i="7" l="1"/>
  <c r="G150" i="7"/>
  <c r="I149" i="7"/>
  <c r="O151" i="7"/>
  <c r="N151" i="7"/>
  <c r="F151" i="7"/>
  <c r="C152" i="7"/>
  <c r="D152" i="7" s="1"/>
  <c r="M151" i="7"/>
  <c r="E151" i="7"/>
  <c r="G151" i="7" l="1"/>
  <c r="H151" i="7"/>
  <c r="C153" i="7"/>
  <c r="D153" i="7" s="1"/>
  <c r="M152" i="7"/>
  <c r="E152" i="7"/>
  <c r="O152" i="7"/>
  <c r="N152" i="7"/>
  <c r="F152" i="7"/>
  <c r="I150" i="7"/>
  <c r="O153" i="7" l="1"/>
  <c r="N153" i="7"/>
  <c r="F153" i="7"/>
  <c r="C154" i="7"/>
  <c r="D154" i="7" s="1"/>
  <c r="M153" i="7"/>
  <c r="E153" i="7"/>
  <c r="H152" i="7"/>
  <c r="G152" i="7"/>
  <c r="I151" i="7"/>
  <c r="C155" i="7" l="1"/>
  <c r="D155" i="7" s="1"/>
  <c r="M154" i="7"/>
  <c r="E154" i="7"/>
  <c r="O154" i="7"/>
  <c r="F154" i="7"/>
  <c r="N154" i="7"/>
  <c r="I152" i="7"/>
  <c r="G153" i="7"/>
  <c r="H153" i="7"/>
  <c r="H154" i="7" l="1"/>
  <c r="G154" i="7"/>
  <c r="I153" i="7"/>
  <c r="O155" i="7"/>
  <c r="N155" i="7"/>
  <c r="F155" i="7"/>
  <c r="C156" i="7"/>
  <c r="D156" i="7" s="1"/>
  <c r="M155" i="7"/>
  <c r="E155" i="7"/>
  <c r="G155" i="7" l="1"/>
  <c r="H155" i="7"/>
  <c r="I154" i="7"/>
  <c r="C157" i="7"/>
  <c r="D157" i="7" s="1"/>
  <c r="M156" i="7"/>
  <c r="E156" i="7"/>
  <c r="O156" i="7"/>
  <c r="F156" i="7"/>
  <c r="N156" i="7"/>
  <c r="O157" i="7" l="1"/>
  <c r="N157" i="7"/>
  <c r="F157" i="7"/>
  <c r="C158" i="7"/>
  <c r="D158" i="7" s="1"/>
  <c r="M157" i="7"/>
  <c r="E157" i="7"/>
  <c r="H156" i="7"/>
  <c r="G156" i="7"/>
  <c r="I155" i="7"/>
  <c r="G157" i="7" l="1"/>
  <c r="H157" i="7"/>
  <c r="I156" i="7"/>
  <c r="C159" i="7"/>
  <c r="D159" i="7" s="1"/>
  <c r="M158" i="7"/>
  <c r="E158" i="7"/>
  <c r="O158" i="7"/>
  <c r="N158" i="7"/>
  <c r="F158" i="7"/>
  <c r="O159" i="7" l="1"/>
  <c r="N159" i="7"/>
  <c r="F159" i="7"/>
  <c r="C160" i="7"/>
  <c r="D160" i="7" s="1"/>
  <c r="M159" i="7"/>
  <c r="E159" i="7"/>
  <c r="H158" i="7"/>
  <c r="G158" i="7"/>
  <c r="I157" i="7"/>
  <c r="G159" i="7" l="1"/>
  <c r="H159" i="7"/>
  <c r="I158" i="7"/>
  <c r="C161" i="7"/>
  <c r="D161" i="7" s="1"/>
  <c r="M160" i="7"/>
  <c r="E160" i="7"/>
  <c r="O160" i="7"/>
  <c r="N160" i="7"/>
  <c r="F160" i="7"/>
  <c r="O161" i="7" l="1"/>
  <c r="N161" i="7"/>
  <c r="F161" i="7"/>
  <c r="C162" i="7"/>
  <c r="D162" i="7" s="1"/>
  <c r="M161" i="7"/>
  <c r="E161" i="7"/>
  <c r="H160" i="7"/>
  <c r="G160" i="7"/>
  <c r="I159" i="7"/>
  <c r="C163" i="7" l="1"/>
  <c r="D163" i="7" s="1"/>
  <c r="M162" i="7"/>
  <c r="E162" i="7"/>
  <c r="O162" i="7"/>
  <c r="F162" i="7"/>
  <c r="N162" i="7"/>
  <c r="G161" i="7"/>
  <c r="H161" i="7"/>
  <c r="I160" i="7"/>
  <c r="I161" i="7" l="1"/>
  <c r="H162" i="7"/>
  <c r="G162" i="7"/>
  <c r="O163" i="7"/>
  <c r="N163" i="7"/>
  <c r="F163" i="7"/>
  <c r="C164" i="7"/>
  <c r="D164" i="7" s="1"/>
  <c r="M163" i="7"/>
  <c r="E163" i="7"/>
  <c r="G163" i="7" l="1"/>
  <c r="H163" i="7"/>
  <c r="C165" i="7"/>
  <c r="D165" i="7" s="1"/>
  <c r="M164" i="7"/>
  <c r="E164" i="7"/>
  <c r="O164" i="7"/>
  <c r="F164" i="7"/>
  <c r="N164" i="7"/>
  <c r="I162" i="7"/>
  <c r="O165" i="7" l="1"/>
  <c r="N165" i="7"/>
  <c r="F165" i="7"/>
  <c r="C166" i="7"/>
  <c r="D166" i="7" s="1"/>
  <c r="M165" i="7"/>
  <c r="E165" i="7"/>
  <c r="H164" i="7"/>
  <c r="G164" i="7"/>
  <c r="I163" i="7"/>
  <c r="G165" i="7" l="1"/>
  <c r="H165" i="7"/>
  <c r="I164" i="7"/>
  <c r="C167" i="7"/>
  <c r="D167" i="7" s="1"/>
  <c r="M166" i="7"/>
  <c r="E166" i="7"/>
  <c r="O166" i="7"/>
  <c r="N166" i="7"/>
  <c r="F166" i="7"/>
  <c r="O167" i="7" l="1"/>
  <c r="N167" i="7"/>
  <c r="F167" i="7"/>
  <c r="C168" i="7"/>
  <c r="D168" i="7" s="1"/>
  <c r="M167" i="7"/>
  <c r="E167" i="7"/>
  <c r="I165" i="7"/>
  <c r="H166" i="7"/>
  <c r="G166" i="7"/>
  <c r="I166" i="7" l="1"/>
  <c r="G167" i="7"/>
  <c r="H167" i="7"/>
  <c r="C169" i="7"/>
  <c r="D169" i="7" s="1"/>
  <c r="M168" i="7"/>
  <c r="E168" i="7"/>
  <c r="O168" i="7"/>
  <c r="N168" i="7"/>
  <c r="F168" i="7"/>
  <c r="O169" i="7" l="1"/>
  <c r="N169" i="7"/>
  <c r="F169" i="7"/>
  <c r="C170" i="7"/>
  <c r="D170" i="7" s="1"/>
  <c r="M169" i="7"/>
  <c r="E169" i="7"/>
  <c r="I167" i="7"/>
  <c r="H168" i="7"/>
  <c r="G168" i="7"/>
  <c r="G169" i="7" l="1"/>
  <c r="H169" i="7"/>
  <c r="C171" i="7"/>
  <c r="D171" i="7" s="1"/>
  <c r="M170" i="7"/>
  <c r="E170" i="7"/>
  <c r="O170" i="7"/>
  <c r="F170" i="7"/>
  <c r="N170" i="7"/>
  <c r="I168" i="7"/>
  <c r="H170" i="7" l="1"/>
  <c r="G170" i="7"/>
  <c r="I169" i="7"/>
  <c r="O171" i="7"/>
  <c r="N171" i="7"/>
  <c r="F171" i="7"/>
  <c r="C172" i="7"/>
  <c r="D172" i="7" s="1"/>
  <c r="M171" i="7"/>
  <c r="E171" i="7"/>
  <c r="C173" i="7" l="1"/>
  <c r="D173" i="7" s="1"/>
  <c r="M172" i="7"/>
  <c r="E172" i="7"/>
  <c r="O172" i="7"/>
  <c r="F172" i="7"/>
  <c r="N172" i="7"/>
  <c r="I170" i="7"/>
  <c r="G171" i="7"/>
  <c r="H171" i="7"/>
  <c r="H172" i="7" l="1"/>
  <c r="G172" i="7"/>
  <c r="I171" i="7"/>
  <c r="O173" i="7"/>
  <c r="N173" i="7"/>
  <c r="F173" i="7"/>
  <c r="C174" i="7"/>
  <c r="D174" i="7" s="1"/>
  <c r="M173" i="7"/>
  <c r="E173" i="7"/>
  <c r="G173" i="7" l="1"/>
  <c r="H173" i="7"/>
  <c r="C175" i="7"/>
  <c r="D175" i="7" s="1"/>
  <c r="M174" i="7"/>
  <c r="E174" i="7"/>
  <c r="O174" i="7"/>
  <c r="N174" i="7"/>
  <c r="F174" i="7"/>
  <c r="I172" i="7"/>
  <c r="O175" i="7" l="1"/>
  <c r="N175" i="7"/>
  <c r="F175" i="7"/>
  <c r="C176" i="7"/>
  <c r="D176" i="7" s="1"/>
  <c r="M175" i="7"/>
  <c r="E175" i="7"/>
  <c r="H174" i="7"/>
  <c r="G174" i="7"/>
  <c r="I173" i="7"/>
  <c r="I174" i="7" l="1"/>
  <c r="C177" i="7"/>
  <c r="D177" i="7" s="1"/>
  <c r="M176" i="7"/>
  <c r="E176" i="7"/>
  <c r="O176" i="7"/>
  <c r="N176" i="7"/>
  <c r="F176" i="7"/>
  <c r="G175" i="7"/>
  <c r="H175" i="7"/>
  <c r="O177" i="7" l="1"/>
  <c r="N177" i="7"/>
  <c r="F177" i="7"/>
  <c r="C178" i="7"/>
  <c r="D178" i="7" s="1"/>
  <c r="M177" i="7"/>
  <c r="E177" i="7"/>
  <c r="I175" i="7"/>
  <c r="H176" i="7"/>
  <c r="G176" i="7"/>
  <c r="G177" i="7" l="1"/>
  <c r="H177" i="7"/>
  <c r="C179" i="7"/>
  <c r="D179" i="7" s="1"/>
  <c r="M178" i="7"/>
  <c r="E178" i="7"/>
  <c r="O178" i="7"/>
  <c r="F178" i="7"/>
  <c r="N178" i="7"/>
  <c r="I176" i="7"/>
  <c r="H178" i="7" l="1"/>
  <c r="G178" i="7"/>
  <c r="I177" i="7"/>
  <c r="O179" i="7"/>
  <c r="N179" i="7"/>
  <c r="F179" i="7"/>
  <c r="C180" i="7"/>
  <c r="D180" i="7" s="1"/>
  <c r="M179" i="7"/>
  <c r="E179" i="7"/>
  <c r="G179" i="7" l="1"/>
  <c r="H179" i="7"/>
  <c r="I178" i="7"/>
  <c r="C181" i="7"/>
  <c r="D181" i="7" s="1"/>
  <c r="M180" i="7"/>
  <c r="E180" i="7"/>
  <c r="O180" i="7"/>
  <c r="F180" i="7"/>
  <c r="N180" i="7"/>
  <c r="O181" i="7" l="1"/>
  <c r="N181" i="7"/>
  <c r="F181" i="7"/>
  <c r="C182" i="7"/>
  <c r="D182" i="7" s="1"/>
  <c r="M181" i="7"/>
  <c r="E181" i="7"/>
  <c r="H180" i="7"/>
  <c r="G180" i="7"/>
  <c r="I179" i="7"/>
  <c r="G181" i="7" l="1"/>
  <c r="H181" i="7"/>
  <c r="I180" i="7"/>
  <c r="C183" i="7"/>
  <c r="D183" i="7" s="1"/>
  <c r="M182" i="7"/>
  <c r="E182" i="7"/>
  <c r="O182" i="7"/>
  <c r="N182" i="7"/>
  <c r="F182" i="7"/>
  <c r="O183" i="7" l="1"/>
  <c r="N183" i="7"/>
  <c r="F183" i="7"/>
  <c r="C184" i="7"/>
  <c r="D184" i="7" s="1"/>
  <c r="M183" i="7"/>
  <c r="E183" i="7"/>
  <c r="I181" i="7"/>
  <c r="H182" i="7"/>
  <c r="G182" i="7"/>
  <c r="G183" i="7" l="1"/>
  <c r="H183" i="7"/>
  <c r="I182" i="7"/>
  <c r="C185" i="7"/>
  <c r="D185" i="7" s="1"/>
  <c r="M184" i="7"/>
  <c r="E184" i="7"/>
  <c r="O184" i="7"/>
  <c r="N184" i="7"/>
  <c r="F184" i="7"/>
  <c r="O185" i="7" l="1"/>
  <c r="N185" i="7"/>
  <c r="F185" i="7"/>
  <c r="C186" i="7"/>
  <c r="D186" i="7" s="1"/>
  <c r="M185" i="7"/>
  <c r="E185" i="7"/>
  <c r="I183" i="7"/>
  <c r="H184" i="7"/>
  <c r="G184" i="7"/>
  <c r="G185" i="7" l="1"/>
  <c r="H185" i="7"/>
  <c r="I184" i="7"/>
  <c r="C187" i="7"/>
  <c r="D187" i="7" s="1"/>
  <c r="M186" i="7"/>
  <c r="E186" i="7"/>
  <c r="O186" i="7"/>
  <c r="F186" i="7"/>
  <c r="N186" i="7"/>
  <c r="O187" i="7" l="1"/>
  <c r="N187" i="7"/>
  <c r="F187" i="7"/>
  <c r="C188" i="7"/>
  <c r="D188" i="7" s="1"/>
  <c r="M187" i="7"/>
  <c r="E187" i="7"/>
  <c r="I185" i="7"/>
  <c r="H186" i="7"/>
  <c r="G186" i="7"/>
  <c r="G187" i="7" l="1"/>
  <c r="H187" i="7"/>
  <c r="I186" i="7"/>
  <c r="C189" i="7"/>
  <c r="D189" i="7" s="1"/>
  <c r="M188" i="7"/>
  <c r="E188" i="7"/>
  <c r="O188" i="7"/>
  <c r="F188" i="7"/>
  <c r="N188" i="7"/>
  <c r="O189" i="7" l="1"/>
  <c r="N189" i="7"/>
  <c r="F189" i="7"/>
  <c r="C190" i="7"/>
  <c r="D190" i="7" s="1"/>
  <c r="M189" i="7"/>
  <c r="E189" i="7"/>
  <c r="I187" i="7"/>
  <c r="H188" i="7"/>
  <c r="G188" i="7"/>
  <c r="C191" i="7" l="1"/>
  <c r="D191" i="7" s="1"/>
  <c r="M190" i="7"/>
  <c r="E190" i="7"/>
  <c r="O190" i="7"/>
  <c r="N190" i="7"/>
  <c r="F190" i="7"/>
  <c r="I188" i="7"/>
  <c r="G189" i="7"/>
  <c r="H189" i="7"/>
  <c r="I189" i="7" l="1"/>
  <c r="H190" i="7"/>
  <c r="G190" i="7"/>
  <c r="O191" i="7"/>
  <c r="N191" i="7"/>
  <c r="F191" i="7"/>
  <c r="C192" i="7"/>
  <c r="D192" i="7" s="1"/>
  <c r="M191" i="7"/>
  <c r="E191" i="7"/>
  <c r="G191" i="7" l="1"/>
  <c r="H191" i="7"/>
  <c r="I190" i="7"/>
  <c r="N192" i="7"/>
  <c r="F192" i="7"/>
  <c r="O192" i="7"/>
  <c r="M192" i="7"/>
  <c r="E192" i="7"/>
  <c r="C193" i="7"/>
  <c r="D193" i="7" s="1"/>
  <c r="N193" i="7" l="1"/>
  <c r="F193" i="7"/>
  <c r="C194" i="7"/>
  <c r="D194" i="7" s="1"/>
  <c r="O193" i="7"/>
  <c r="M193" i="7"/>
  <c r="E193" i="7"/>
  <c r="H192" i="7"/>
  <c r="G192" i="7"/>
  <c r="I191" i="7"/>
  <c r="N194" i="7" l="1"/>
  <c r="F194" i="7"/>
  <c r="C195" i="7"/>
  <c r="D195" i="7" s="1"/>
  <c r="O194" i="7"/>
  <c r="E194" i="7"/>
  <c r="M194" i="7"/>
  <c r="H193" i="7"/>
  <c r="G193" i="7"/>
  <c r="I192" i="7"/>
  <c r="I193" i="7" l="1"/>
  <c r="N195" i="7"/>
  <c r="F195" i="7"/>
  <c r="M195" i="7"/>
  <c r="E195" i="7"/>
  <c r="C196" i="7"/>
  <c r="D196" i="7" s="1"/>
  <c r="O195" i="7"/>
  <c r="H194" i="7"/>
  <c r="G194" i="7"/>
  <c r="N196" i="7" l="1"/>
  <c r="F196" i="7"/>
  <c r="O196" i="7"/>
  <c r="M196" i="7"/>
  <c r="E196" i="7"/>
  <c r="C197" i="7"/>
  <c r="D197" i="7" s="1"/>
  <c r="H195" i="7"/>
  <c r="G195" i="7"/>
  <c r="I194" i="7"/>
  <c r="N197" i="7" l="1"/>
  <c r="F197" i="7"/>
  <c r="C198" i="7"/>
  <c r="D198" i="7" s="1"/>
  <c r="O197" i="7"/>
  <c r="M197" i="7"/>
  <c r="E197" i="7"/>
  <c r="I195" i="7"/>
  <c r="H196" i="7"/>
  <c r="G196" i="7"/>
  <c r="I196" i="7" l="1"/>
  <c r="N198" i="7"/>
  <c r="F198" i="7"/>
  <c r="C199" i="7"/>
  <c r="D199" i="7" s="1"/>
  <c r="O198" i="7"/>
  <c r="M198" i="7"/>
  <c r="E198" i="7"/>
  <c r="H197" i="7"/>
  <c r="G197" i="7"/>
  <c r="I197" i="7" l="1"/>
  <c r="H198" i="7"/>
  <c r="G198" i="7"/>
  <c r="N199" i="7"/>
  <c r="F199" i="7"/>
  <c r="M199" i="7"/>
  <c r="E199" i="7"/>
  <c r="C200" i="7"/>
  <c r="D200" i="7" s="1"/>
  <c r="O199" i="7"/>
  <c r="H199" i="7" l="1"/>
  <c r="G199" i="7"/>
  <c r="I198" i="7"/>
  <c r="N200" i="7"/>
  <c r="F200" i="7"/>
  <c r="O200" i="7"/>
  <c r="M200" i="7"/>
  <c r="E200" i="7"/>
  <c r="C201" i="7"/>
  <c r="D201" i="7" s="1"/>
  <c r="I199" i="7" l="1"/>
  <c r="N201" i="7"/>
  <c r="F201" i="7"/>
  <c r="C202" i="7"/>
  <c r="D202" i="7" s="1"/>
  <c r="O201" i="7"/>
  <c r="M201" i="7"/>
  <c r="E201" i="7"/>
  <c r="H200" i="7"/>
  <c r="G200" i="7"/>
  <c r="H201" i="7" l="1"/>
  <c r="G201" i="7"/>
  <c r="I200" i="7"/>
  <c r="N202" i="7"/>
  <c r="F202" i="7"/>
  <c r="C203" i="7"/>
  <c r="D203" i="7" s="1"/>
  <c r="O202" i="7"/>
  <c r="M202" i="7"/>
  <c r="E202" i="7"/>
  <c r="N203" i="7" l="1"/>
  <c r="F203" i="7"/>
  <c r="M203" i="7"/>
  <c r="E203" i="7"/>
  <c r="C204" i="7"/>
  <c r="D204" i="7" s="1"/>
  <c r="O203" i="7"/>
  <c r="I201" i="7"/>
  <c r="H202" i="7"/>
  <c r="G202" i="7"/>
  <c r="H203" i="7" l="1"/>
  <c r="G203" i="7"/>
  <c r="I202" i="7"/>
  <c r="N204" i="7"/>
  <c r="F204" i="7"/>
  <c r="O204" i="7"/>
  <c r="M204" i="7"/>
  <c r="E204" i="7"/>
  <c r="C205" i="7"/>
  <c r="D205" i="7" s="1"/>
  <c r="H204" i="7" l="1"/>
  <c r="G204" i="7"/>
  <c r="I203" i="7"/>
  <c r="N205" i="7"/>
  <c r="F205" i="7"/>
  <c r="C206" i="7"/>
  <c r="D206" i="7" s="1"/>
  <c r="O205" i="7"/>
  <c r="M205" i="7"/>
  <c r="E205" i="7"/>
  <c r="I204" i="7" l="1"/>
  <c r="H205" i="7"/>
  <c r="G205" i="7"/>
  <c r="N206" i="7"/>
  <c r="F206" i="7"/>
  <c r="C207" i="7"/>
  <c r="D207" i="7" s="1"/>
  <c r="O206" i="7"/>
  <c r="M206" i="7"/>
  <c r="E206" i="7"/>
  <c r="H206" i="7" l="1"/>
  <c r="G206" i="7"/>
  <c r="I205" i="7"/>
  <c r="N207" i="7"/>
  <c r="F207" i="7"/>
  <c r="M207" i="7"/>
  <c r="E207" i="7"/>
  <c r="C208" i="7"/>
  <c r="D208" i="7" s="1"/>
  <c r="O207" i="7"/>
  <c r="I206" i="7" l="1"/>
  <c r="N208" i="7"/>
  <c r="F208" i="7"/>
  <c r="O208" i="7"/>
  <c r="M208" i="7"/>
  <c r="E208" i="7"/>
  <c r="C209" i="7"/>
  <c r="D209" i="7" s="1"/>
  <c r="H207" i="7"/>
  <c r="G207" i="7"/>
  <c r="H208" i="7" l="1"/>
  <c r="G208" i="7"/>
  <c r="N209" i="7"/>
  <c r="F209" i="7"/>
  <c r="C210" i="7"/>
  <c r="D210" i="7" s="1"/>
  <c r="O209" i="7"/>
  <c r="M209" i="7"/>
  <c r="E209" i="7"/>
  <c r="I207" i="7"/>
  <c r="H209" i="7" l="1"/>
  <c r="G209" i="7"/>
  <c r="I208" i="7"/>
  <c r="N210" i="7"/>
  <c r="F210" i="7"/>
  <c r="C211" i="7"/>
  <c r="D211" i="7" s="1"/>
  <c r="O210" i="7"/>
  <c r="E210" i="7"/>
  <c r="M210" i="7"/>
  <c r="N211" i="7" l="1"/>
  <c r="F211" i="7"/>
  <c r="M211" i="7"/>
  <c r="E211" i="7"/>
  <c r="C212" i="7"/>
  <c r="D212" i="7" s="1"/>
  <c r="O211" i="7"/>
  <c r="I209" i="7"/>
  <c r="H210" i="7"/>
  <c r="G210" i="7"/>
  <c r="I210" i="7" l="1"/>
  <c r="H211" i="7"/>
  <c r="G211" i="7"/>
  <c r="N212" i="7"/>
  <c r="F212" i="7"/>
  <c r="O212" i="7"/>
  <c r="M212" i="7"/>
  <c r="E212" i="7"/>
  <c r="C213" i="7"/>
  <c r="D213" i="7" s="1"/>
  <c r="N213" i="7" l="1"/>
  <c r="F213" i="7"/>
  <c r="C214" i="7"/>
  <c r="D214" i="7" s="1"/>
  <c r="O213" i="7"/>
  <c r="M213" i="7"/>
  <c r="E213" i="7"/>
  <c r="H212" i="7"/>
  <c r="G212" i="7"/>
  <c r="I211" i="7"/>
  <c r="H213" i="7" l="1"/>
  <c r="G213" i="7"/>
  <c r="N214" i="7"/>
  <c r="F214" i="7"/>
  <c r="C215" i="7"/>
  <c r="D215" i="7" s="1"/>
  <c r="O214" i="7"/>
  <c r="M214" i="7"/>
  <c r="E214" i="7"/>
  <c r="I212" i="7"/>
  <c r="H214" i="7" l="1"/>
  <c r="G214" i="7"/>
  <c r="I213" i="7"/>
  <c r="N215" i="7"/>
  <c r="F215" i="7"/>
  <c r="M215" i="7"/>
  <c r="E215" i="7"/>
  <c r="C216" i="7"/>
  <c r="D216" i="7" s="1"/>
  <c r="O215" i="7"/>
  <c r="I214" i="7" l="1"/>
  <c r="N216" i="7"/>
  <c r="F216" i="7"/>
  <c r="O216" i="7"/>
  <c r="M216" i="7"/>
  <c r="E216" i="7"/>
  <c r="C217" i="7"/>
  <c r="D217" i="7" s="1"/>
  <c r="H215" i="7"/>
  <c r="G215" i="7"/>
  <c r="H216" i="7" l="1"/>
  <c r="G216" i="7"/>
  <c r="N217" i="7"/>
  <c r="F217" i="7"/>
  <c r="C218" i="7"/>
  <c r="D218" i="7" s="1"/>
  <c r="M217" i="7"/>
  <c r="E217" i="7"/>
  <c r="O217" i="7"/>
  <c r="I215" i="7"/>
  <c r="H217" i="7" l="1"/>
  <c r="G217" i="7"/>
  <c r="I216" i="7"/>
  <c r="O218" i="7"/>
  <c r="N218" i="7"/>
  <c r="F218" i="7"/>
  <c r="M218" i="7"/>
  <c r="E218" i="7"/>
  <c r="C219" i="7"/>
  <c r="D219" i="7" s="1"/>
  <c r="N219" i="7" l="1"/>
  <c r="F219" i="7"/>
  <c r="C220" i="7"/>
  <c r="D220" i="7" s="1"/>
  <c r="M219" i="7"/>
  <c r="E219" i="7"/>
  <c r="O219" i="7"/>
  <c r="I217" i="7"/>
  <c r="H218" i="7"/>
  <c r="G218" i="7"/>
  <c r="I218" i="7" l="1"/>
  <c r="O220" i="7"/>
  <c r="N220" i="7"/>
  <c r="F220" i="7"/>
  <c r="C221" i="7"/>
  <c r="D221" i="7" s="1"/>
  <c r="M220" i="7"/>
  <c r="E220" i="7"/>
  <c r="H219" i="7"/>
  <c r="G219" i="7"/>
  <c r="H220" i="7" l="1"/>
  <c r="G220" i="7"/>
  <c r="I219" i="7"/>
  <c r="N221" i="7"/>
  <c r="F221" i="7"/>
  <c r="C222" i="7"/>
  <c r="D222" i="7" s="1"/>
  <c r="M221" i="7"/>
  <c r="E221" i="7"/>
  <c r="O221" i="7"/>
  <c r="O222" i="7" l="1"/>
  <c r="N222" i="7"/>
  <c r="F222" i="7"/>
  <c r="E222" i="7"/>
  <c r="C223" i="7"/>
  <c r="D223" i="7" s="1"/>
  <c r="M222" i="7"/>
  <c r="H221" i="7"/>
  <c r="G221" i="7"/>
  <c r="I220" i="7"/>
  <c r="I221" i="7" l="1"/>
  <c r="N223" i="7"/>
  <c r="F223" i="7"/>
  <c r="C224" i="7"/>
  <c r="D224" i="7" s="1"/>
  <c r="M223" i="7"/>
  <c r="E223" i="7"/>
  <c r="O223" i="7"/>
  <c r="H222" i="7"/>
  <c r="G222" i="7"/>
  <c r="H223" i="7" l="1"/>
  <c r="G223" i="7"/>
  <c r="I222" i="7"/>
  <c r="O224" i="7"/>
  <c r="N224" i="7"/>
  <c r="F224" i="7"/>
  <c r="E224" i="7"/>
  <c r="C225" i="7"/>
  <c r="D225" i="7" s="1"/>
  <c r="M224" i="7"/>
  <c r="I223" i="7" l="1"/>
  <c r="N225" i="7"/>
  <c r="F225" i="7"/>
  <c r="C226" i="7"/>
  <c r="D226" i="7" s="1"/>
  <c r="M225" i="7"/>
  <c r="E225" i="7"/>
  <c r="O225" i="7"/>
  <c r="H224" i="7"/>
  <c r="G224" i="7"/>
  <c r="H225" i="7" l="1"/>
  <c r="G225" i="7"/>
  <c r="I224" i="7"/>
  <c r="O226" i="7"/>
  <c r="N226" i="7"/>
  <c r="F226" i="7"/>
  <c r="M226" i="7"/>
  <c r="E226" i="7"/>
  <c r="C227" i="7"/>
  <c r="D227" i="7" s="1"/>
  <c r="N227" i="7" l="1"/>
  <c r="F227" i="7"/>
  <c r="C228" i="7"/>
  <c r="D228" i="7" s="1"/>
  <c r="M227" i="7"/>
  <c r="E227" i="7"/>
  <c r="O227" i="7"/>
  <c r="I225" i="7"/>
  <c r="H226" i="7"/>
  <c r="G226" i="7"/>
  <c r="H227" i="7" l="1"/>
  <c r="G227" i="7"/>
  <c r="O228" i="7"/>
  <c r="N228" i="7"/>
  <c r="F228" i="7"/>
  <c r="C229" i="7"/>
  <c r="D229" i="7" s="1"/>
  <c r="M228" i="7"/>
  <c r="E228" i="7"/>
  <c r="I226" i="7"/>
  <c r="N229" i="7" l="1"/>
  <c r="F229" i="7"/>
  <c r="C230" i="7"/>
  <c r="D230" i="7" s="1"/>
  <c r="M229" i="7"/>
  <c r="E229" i="7"/>
  <c r="O229" i="7"/>
  <c r="I227" i="7"/>
  <c r="H228" i="7"/>
  <c r="G228" i="7"/>
  <c r="I228" i="7" l="1"/>
  <c r="O230" i="7"/>
  <c r="N230" i="7"/>
  <c r="F230" i="7"/>
  <c r="E230" i="7"/>
  <c r="C231" i="7"/>
  <c r="D231" i="7" s="1"/>
  <c r="M230" i="7"/>
  <c r="H229" i="7"/>
  <c r="G229" i="7"/>
  <c r="I229" i="7" l="1"/>
  <c r="N231" i="7"/>
  <c r="F231" i="7"/>
  <c r="C232" i="7"/>
  <c r="D232" i="7" s="1"/>
  <c r="M231" i="7"/>
  <c r="E231" i="7"/>
  <c r="O231" i="7"/>
  <c r="H230" i="7"/>
  <c r="G230" i="7"/>
  <c r="H231" i="7" l="1"/>
  <c r="G231" i="7"/>
  <c r="I230" i="7"/>
  <c r="O232" i="7"/>
  <c r="N232" i="7"/>
  <c r="F232" i="7"/>
  <c r="E232" i="7"/>
  <c r="C233" i="7"/>
  <c r="D233" i="7" s="1"/>
  <c r="M232" i="7"/>
  <c r="N233" i="7" l="1"/>
  <c r="F233" i="7"/>
  <c r="C234" i="7"/>
  <c r="D234" i="7" s="1"/>
  <c r="M233" i="7"/>
  <c r="E233" i="7"/>
  <c r="O233" i="7"/>
  <c r="I231" i="7"/>
  <c r="H232" i="7"/>
  <c r="G232" i="7"/>
  <c r="I232" i="7" l="1"/>
  <c r="O234" i="7"/>
  <c r="N234" i="7"/>
  <c r="F234" i="7"/>
  <c r="M234" i="7"/>
  <c r="E234" i="7"/>
  <c r="C235" i="7"/>
  <c r="D235" i="7" s="1"/>
  <c r="H233" i="7"/>
  <c r="G233" i="7"/>
  <c r="N235" i="7" l="1"/>
  <c r="F235" i="7"/>
  <c r="C236" i="7"/>
  <c r="D236" i="7" s="1"/>
  <c r="M235" i="7"/>
  <c r="E235" i="7"/>
  <c r="O235" i="7"/>
  <c r="H234" i="7"/>
  <c r="G234" i="7"/>
  <c r="I233" i="7"/>
  <c r="I234" i="7" l="1"/>
  <c r="O236" i="7"/>
  <c r="N236" i="7"/>
  <c r="F236" i="7"/>
  <c r="C237" i="7"/>
  <c r="D237" i="7" s="1"/>
  <c r="M236" i="7"/>
  <c r="E236" i="7"/>
  <c r="H235" i="7"/>
  <c r="G235" i="7"/>
  <c r="H236" i="7" l="1"/>
  <c r="G236" i="7"/>
  <c r="I235" i="7"/>
  <c r="N237" i="7"/>
  <c r="F237" i="7"/>
  <c r="C238" i="7"/>
  <c r="D238" i="7" s="1"/>
  <c r="M237" i="7"/>
  <c r="E237" i="7"/>
  <c r="O237" i="7"/>
  <c r="O238" i="7" l="1"/>
  <c r="N238" i="7"/>
  <c r="F238" i="7"/>
  <c r="E238" i="7"/>
  <c r="C239" i="7"/>
  <c r="D239" i="7" s="1"/>
  <c r="M238" i="7"/>
  <c r="H237" i="7"/>
  <c r="G237" i="7"/>
  <c r="I236" i="7"/>
  <c r="H238" i="7" l="1"/>
  <c r="G238" i="7"/>
  <c r="I237" i="7"/>
  <c r="N239" i="7"/>
  <c r="F239" i="7"/>
  <c r="C240" i="7"/>
  <c r="D240" i="7" s="1"/>
  <c r="M239" i="7"/>
  <c r="E239" i="7"/>
  <c r="O239" i="7"/>
  <c r="O240" i="7" l="1"/>
  <c r="N240" i="7"/>
  <c r="F240" i="7"/>
  <c r="E240" i="7"/>
  <c r="C241" i="7"/>
  <c r="D241" i="7" s="1"/>
  <c r="M240" i="7"/>
  <c r="H239" i="7"/>
  <c r="G239" i="7"/>
  <c r="I238" i="7"/>
  <c r="H240" i="7" l="1"/>
  <c r="G240" i="7"/>
  <c r="N241" i="7"/>
  <c r="F241" i="7"/>
  <c r="C242" i="7"/>
  <c r="D242" i="7" s="1"/>
  <c r="M241" i="7"/>
  <c r="E241" i="7"/>
  <c r="O241" i="7"/>
  <c r="I239" i="7"/>
  <c r="O242" i="7" l="1"/>
  <c r="N242" i="7"/>
  <c r="F242" i="7"/>
  <c r="M242" i="7"/>
  <c r="E242" i="7"/>
  <c r="C243" i="7"/>
  <c r="D243" i="7" s="1"/>
  <c r="I240" i="7"/>
  <c r="H241" i="7"/>
  <c r="G241" i="7"/>
  <c r="I241" i="7" l="1"/>
  <c r="N243" i="7"/>
  <c r="F243" i="7"/>
  <c r="C244" i="7"/>
  <c r="D244" i="7" s="1"/>
  <c r="M243" i="7"/>
  <c r="E243" i="7"/>
  <c r="O243" i="7"/>
  <c r="H242" i="7"/>
  <c r="G242" i="7"/>
  <c r="H243" i="7" l="1"/>
  <c r="G243" i="7"/>
  <c r="I242" i="7"/>
  <c r="O244" i="7"/>
  <c r="N244" i="7"/>
  <c r="F244" i="7"/>
  <c r="C245" i="7"/>
  <c r="D245" i="7" s="1"/>
  <c r="M244" i="7"/>
  <c r="E244" i="7"/>
  <c r="I243" i="7" l="1"/>
  <c r="H244" i="7"/>
  <c r="G244" i="7"/>
  <c r="N245" i="7"/>
  <c r="F245" i="7"/>
  <c r="C246" i="7"/>
  <c r="D246" i="7" s="1"/>
  <c r="M245" i="7"/>
  <c r="E245" i="7"/>
  <c r="O245" i="7"/>
  <c r="H245" i="7" l="1"/>
  <c r="G245" i="7"/>
  <c r="O246" i="7"/>
  <c r="N246" i="7"/>
  <c r="F246" i="7"/>
  <c r="E246" i="7"/>
  <c r="C247" i="7"/>
  <c r="D247" i="7" s="1"/>
  <c r="M246" i="7"/>
  <c r="I244" i="7"/>
  <c r="H246" i="7" l="1"/>
  <c r="G246" i="7"/>
  <c r="I245" i="7"/>
  <c r="N247" i="7"/>
  <c r="F247" i="7"/>
  <c r="C248" i="7"/>
  <c r="D248" i="7" s="1"/>
  <c r="M247" i="7"/>
  <c r="E247" i="7"/>
  <c r="O247" i="7"/>
  <c r="H247" i="7" l="1"/>
  <c r="G247" i="7"/>
  <c r="I246" i="7"/>
  <c r="O248" i="7"/>
  <c r="N248" i="7"/>
  <c r="F248" i="7"/>
  <c r="E248" i="7"/>
  <c r="C249" i="7"/>
  <c r="D249" i="7" s="1"/>
  <c r="M248" i="7"/>
  <c r="H248" i="7" l="1"/>
  <c r="G248" i="7"/>
  <c r="N249" i="7"/>
  <c r="F249" i="7"/>
  <c r="C250" i="7"/>
  <c r="D250" i="7" s="1"/>
  <c r="M249" i="7"/>
  <c r="E249" i="7"/>
  <c r="O249" i="7"/>
  <c r="I247" i="7"/>
  <c r="H249" i="7" l="1"/>
  <c r="G249" i="7"/>
  <c r="O250" i="7"/>
  <c r="N250" i="7"/>
  <c r="F250" i="7"/>
  <c r="M250" i="7"/>
  <c r="E250" i="7"/>
  <c r="C251" i="7"/>
  <c r="D251" i="7" s="1"/>
  <c r="I248" i="7"/>
  <c r="H250" i="7" l="1"/>
  <c r="G250" i="7"/>
  <c r="I249" i="7"/>
  <c r="N251" i="7"/>
  <c r="F251" i="7"/>
  <c r="C252" i="7"/>
  <c r="D252" i="7" s="1"/>
  <c r="M251" i="7"/>
  <c r="E251" i="7"/>
  <c r="O251" i="7"/>
  <c r="H251" i="7" l="1"/>
  <c r="G251" i="7"/>
  <c r="I250" i="7"/>
  <c r="O252" i="7"/>
  <c r="N252" i="7"/>
  <c r="F252" i="7"/>
  <c r="C253" i="7"/>
  <c r="D253" i="7" s="1"/>
  <c r="M252" i="7"/>
  <c r="E252" i="7"/>
  <c r="H252" i="7" l="1"/>
  <c r="G252" i="7"/>
  <c r="I251" i="7"/>
  <c r="N253" i="7"/>
  <c r="F253" i="7"/>
  <c r="C254" i="7"/>
  <c r="D254" i="7" s="1"/>
  <c r="M253" i="7"/>
  <c r="E253" i="7"/>
  <c r="O253" i="7"/>
  <c r="O254" i="7" l="1"/>
  <c r="N254" i="7"/>
  <c r="F254" i="7"/>
  <c r="E254" i="7"/>
  <c r="C255" i="7"/>
  <c r="D255" i="7" s="1"/>
  <c r="M254" i="7"/>
  <c r="H253" i="7"/>
  <c r="G253" i="7"/>
  <c r="I252" i="7"/>
  <c r="I253" i="7" l="1"/>
  <c r="N255" i="7"/>
  <c r="F255" i="7"/>
  <c r="C256" i="7"/>
  <c r="D256" i="7" s="1"/>
  <c r="M255" i="7"/>
  <c r="E255" i="7"/>
  <c r="O255" i="7"/>
  <c r="H254" i="7"/>
  <c r="G254" i="7"/>
  <c r="H255" i="7" l="1"/>
  <c r="G255" i="7"/>
  <c r="I254" i="7"/>
  <c r="O256" i="7"/>
  <c r="N256" i="7"/>
  <c r="F256" i="7"/>
  <c r="E256" i="7"/>
  <c r="C257" i="7"/>
  <c r="D257" i="7" s="1"/>
  <c r="M256" i="7"/>
  <c r="N257" i="7" l="1"/>
  <c r="F257" i="7"/>
  <c r="C258" i="7"/>
  <c r="D258" i="7" s="1"/>
  <c r="M257" i="7"/>
  <c r="E257" i="7"/>
  <c r="O257" i="7"/>
  <c r="I255" i="7"/>
  <c r="H256" i="7"/>
  <c r="G256" i="7"/>
  <c r="I256" i="7" l="1"/>
  <c r="O258" i="7"/>
  <c r="N258" i="7"/>
  <c r="F258" i="7"/>
  <c r="M258" i="7"/>
  <c r="E258" i="7"/>
  <c r="C259" i="7"/>
  <c r="D259" i="7" s="1"/>
  <c r="H257" i="7"/>
  <c r="G257" i="7"/>
  <c r="N259" i="7" l="1"/>
  <c r="F259" i="7"/>
  <c r="C260" i="7"/>
  <c r="D260" i="7" s="1"/>
  <c r="M259" i="7"/>
  <c r="E259" i="7"/>
  <c r="O259" i="7"/>
  <c r="H258" i="7"/>
  <c r="G258" i="7"/>
  <c r="I257" i="7"/>
  <c r="H259" i="7" l="1"/>
  <c r="G259" i="7"/>
  <c r="O260" i="7"/>
  <c r="N260" i="7"/>
  <c r="F260" i="7"/>
  <c r="C261" i="7"/>
  <c r="D261" i="7" s="1"/>
  <c r="M260" i="7"/>
  <c r="E260" i="7"/>
  <c r="I258" i="7"/>
  <c r="H260" i="7" l="1"/>
  <c r="G260" i="7"/>
  <c r="N261" i="7"/>
  <c r="F261" i="7"/>
  <c r="C262" i="7"/>
  <c r="D262" i="7" s="1"/>
  <c r="M261" i="7"/>
  <c r="E261" i="7"/>
  <c r="O261" i="7"/>
  <c r="I259" i="7"/>
  <c r="H261" i="7" l="1"/>
  <c r="G261" i="7"/>
  <c r="O262" i="7"/>
  <c r="N262" i="7"/>
  <c r="F262" i="7"/>
  <c r="E262" i="7"/>
  <c r="C263" i="7"/>
  <c r="D263" i="7" s="1"/>
  <c r="M262" i="7"/>
  <c r="I260" i="7"/>
  <c r="H262" i="7" l="1"/>
  <c r="G262" i="7"/>
  <c r="I261" i="7"/>
  <c r="N263" i="7"/>
  <c r="F263" i="7"/>
  <c r="C264" i="7"/>
  <c r="D264" i="7" s="1"/>
  <c r="M263" i="7"/>
  <c r="E263" i="7"/>
  <c r="O263" i="7"/>
  <c r="H263" i="7" l="1"/>
  <c r="G263" i="7"/>
  <c r="I262" i="7"/>
  <c r="O264" i="7"/>
  <c r="N264" i="7"/>
  <c r="F264" i="7"/>
  <c r="E264" i="7"/>
  <c r="C265" i="7"/>
  <c r="D265" i="7" s="1"/>
  <c r="M264" i="7"/>
  <c r="I263" i="7" l="1"/>
  <c r="N265" i="7"/>
  <c r="F265" i="7"/>
  <c r="C266" i="7"/>
  <c r="D266" i="7" s="1"/>
  <c r="M265" i="7"/>
  <c r="E265" i="7"/>
  <c r="O265" i="7"/>
  <c r="H264" i="7"/>
  <c r="G264" i="7"/>
  <c r="O266" i="7" l="1"/>
  <c r="N266" i="7"/>
  <c r="F266" i="7"/>
  <c r="M266" i="7"/>
  <c r="E266" i="7"/>
  <c r="C267" i="7"/>
  <c r="D267" i="7" s="1"/>
  <c r="H265" i="7"/>
  <c r="G265" i="7"/>
  <c r="I264" i="7"/>
  <c r="N267" i="7" l="1"/>
  <c r="F267" i="7"/>
  <c r="C268" i="7"/>
  <c r="D268" i="7" s="1"/>
  <c r="M267" i="7"/>
  <c r="E267" i="7"/>
  <c r="O267" i="7"/>
  <c r="H266" i="7"/>
  <c r="G266" i="7"/>
  <c r="I265" i="7"/>
  <c r="H267" i="7" l="1"/>
  <c r="G267" i="7"/>
  <c r="I266" i="7"/>
  <c r="O268" i="7"/>
  <c r="N268" i="7"/>
  <c r="F268" i="7"/>
  <c r="C269" i="7"/>
  <c r="D269" i="7" s="1"/>
  <c r="M268" i="7"/>
  <c r="E268" i="7"/>
  <c r="I267" i="7" l="1"/>
  <c r="H268" i="7"/>
  <c r="G268" i="7"/>
  <c r="N269" i="7"/>
  <c r="F269" i="7"/>
  <c r="O269" i="7"/>
  <c r="E269" i="7"/>
  <c r="M269" i="7"/>
  <c r="C270" i="7"/>
  <c r="D270" i="7" s="1"/>
  <c r="M270" i="7" l="1"/>
  <c r="C271" i="7"/>
  <c r="D271" i="7" s="1"/>
  <c r="F270" i="7"/>
  <c r="O270" i="7"/>
  <c r="E270" i="7"/>
  <c r="N270" i="7"/>
  <c r="H269" i="7"/>
  <c r="G269" i="7"/>
  <c r="I268" i="7"/>
  <c r="N271" i="7" l="1"/>
  <c r="F271" i="7"/>
  <c r="O271" i="7"/>
  <c r="M271" i="7"/>
  <c r="C272" i="7"/>
  <c r="D272" i="7" s="1"/>
  <c r="E271" i="7"/>
  <c r="H270" i="7"/>
  <c r="G270" i="7"/>
  <c r="I269" i="7"/>
  <c r="H271" i="7" l="1"/>
  <c r="G271" i="7"/>
  <c r="C273" i="7"/>
  <c r="D273" i="7" s="1"/>
  <c r="F272" i="7"/>
  <c r="O272" i="7"/>
  <c r="E272" i="7"/>
  <c r="N272" i="7"/>
  <c r="M272" i="7"/>
  <c r="I270" i="7"/>
  <c r="H272" i="7" l="1"/>
  <c r="G272" i="7"/>
  <c r="I271" i="7"/>
  <c r="N273" i="7"/>
  <c r="F273" i="7"/>
  <c r="M273" i="7"/>
  <c r="C274" i="7"/>
  <c r="D274" i="7" s="1"/>
  <c r="E273" i="7"/>
  <c r="O273" i="7"/>
  <c r="H273" i="7" l="1"/>
  <c r="G273" i="7"/>
  <c r="I272" i="7"/>
  <c r="O274" i="7"/>
  <c r="E274" i="7"/>
  <c r="N274" i="7"/>
  <c r="M274" i="7"/>
  <c r="C275" i="7"/>
  <c r="D275" i="7" s="1"/>
  <c r="F274" i="7"/>
  <c r="H274" i="7" l="1"/>
  <c r="G274" i="7"/>
  <c r="I273" i="7"/>
  <c r="N275" i="7"/>
  <c r="F275" i="7"/>
  <c r="C276" i="7"/>
  <c r="D276" i="7" s="1"/>
  <c r="E275" i="7"/>
  <c r="O275" i="7"/>
  <c r="M275" i="7"/>
  <c r="G275" i="7" l="1"/>
  <c r="H275" i="7"/>
  <c r="N276" i="7"/>
  <c r="M276" i="7"/>
  <c r="C277" i="7"/>
  <c r="D277" i="7" s="1"/>
  <c r="F276" i="7"/>
  <c r="E276" i="7"/>
  <c r="O276" i="7"/>
  <c r="I274" i="7"/>
  <c r="H276" i="7" l="1"/>
  <c r="G276" i="7"/>
  <c r="N277" i="7"/>
  <c r="F277" i="7"/>
  <c r="E277" i="7"/>
  <c r="O277" i="7"/>
  <c r="M277" i="7"/>
  <c r="C278" i="7"/>
  <c r="D278" i="7" s="1"/>
  <c r="I275" i="7"/>
  <c r="H277" i="7" l="1"/>
  <c r="G277" i="7"/>
  <c r="M278" i="7"/>
  <c r="C279" i="7"/>
  <c r="D279" i="7" s="1"/>
  <c r="F278" i="7"/>
  <c r="O278" i="7"/>
  <c r="E278" i="7"/>
  <c r="N278" i="7"/>
  <c r="I276" i="7"/>
  <c r="H278" i="7" l="1"/>
  <c r="G278" i="7"/>
  <c r="N279" i="7"/>
  <c r="F279" i="7"/>
  <c r="C280" i="7"/>
  <c r="D280" i="7" s="1"/>
  <c r="O279" i="7"/>
  <c r="M279" i="7"/>
  <c r="E279" i="7"/>
  <c r="I277" i="7"/>
  <c r="H279" i="7" l="1"/>
  <c r="G279" i="7"/>
  <c r="O280" i="7"/>
  <c r="N280" i="7"/>
  <c r="F280" i="7"/>
  <c r="M280" i="7"/>
  <c r="E280" i="7"/>
  <c r="C281" i="7"/>
  <c r="D281" i="7" s="1"/>
  <c r="I278" i="7"/>
  <c r="H280" i="7" l="1"/>
  <c r="G280" i="7"/>
  <c r="I279" i="7"/>
  <c r="N281" i="7"/>
  <c r="F281" i="7"/>
  <c r="C282" i="7"/>
  <c r="D282" i="7" s="1"/>
  <c r="M281" i="7"/>
  <c r="E281" i="7"/>
  <c r="O281" i="7"/>
  <c r="H281" i="7" l="1"/>
  <c r="G281" i="7"/>
  <c r="I280" i="7"/>
  <c r="O282" i="7"/>
  <c r="N282" i="7"/>
  <c r="F282" i="7"/>
  <c r="C283" i="7"/>
  <c r="D283" i="7" s="1"/>
  <c r="M282" i="7"/>
  <c r="E282" i="7"/>
  <c r="H282" i="7" l="1"/>
  <c r="G282" i="7"/>
  <c r="I281" i="7"/>
  <c r="N283" i="7"/>
  <c r="F283" i="7"/>
  <c r="C284" i="7"/>
  <c r="D284" i="7" s="1"/>
  <c r="M283" i="7"/>
  <c r="E283" i="7"/>
  <c r="O283" i="7"/>
  <c r="O284" i="7" l="1"/>
  <c r="N284" i="7"/>
  <c r="F284" i="7"/>
  <c r="E284" i="7"/>
  <c r="C285" i="7"/>
  <c r="D285" i="7" s="1"/>
  <c r="M284" i="7"/>
  <c r="H283" i="7"/>
  <c r="G283" i="7"/>
  <c r="I282" i="7"/>
  <c r="H284" i="7" l="1"/>
  <c r="G284" i="7"/>
  <c r="I283" i="7"/>
  <c r="N285" i="7"/>
  <c r="F285" i="7"/>
  <c r="C286" i="7"/>
  <c r="D286" i="7" s="1"/>
  <c r="M285" i="7"/>
  <c r="E285" i="7"/>
  <c r="O285" i="7"/>
  <c r="H285" i="7" l="1"/>
  <c r="G285" i="7"/>
  <c r="I284" i="7"/>
  <c r="O286" i="7"/>
  <c r="N286" i="7"/>
  <c r="F286" i="7"/>
  <c r="E286" i="7"/>
  <c r="C287" i="7"/>
  <c r="D287" i="7" s="1"/>
  <c r="M286" i="7"/>
  <c r="H286" i="7" l="1"/>
  <c r="G286" i="7"/>
  <c r="I285" i="7"/>
  <c r="N287" i="7"/>
  <c r="F287" i="7"/>
  <c r="C288" i="7"/>
  <c r="D288" i="7" s="1"/>
  <c r="M287" i="7"/>
  <c r="E287" i="7"/>
  <c r="O287" i="7"/>
  <c r="O288" i="7" l="1"/>
  <c r="N288" i="7"/>
  <c r="F288" i="7"/>
  <c r="M288" i="7"/>
  <c r="E288" i="7"/>
  <c r="C289" i="7"/>
  <c r="D289" i="7" s="1"/>
  <c r="H287" i="7"/>
  <c r="G287" i="7"/>
  <c r="I286" i="7"/>
  <c r="I287" i="7" l="1"/>
  <c r="N289" i="7"/>
  <c r="F289" i="7"/>
  <c r="C290" i="7"/>
  <c r="D290" i="7" s="1"/>
  <c r="M289" i="7"/>
  <c r="E289" i="7"/>
  <c r="O289" i="7"/>
  <c r="H288" i="7"/>
  <c r="G288" i="7"/>
  <c r="H289" i="7" l="1"/>
  <c r="G289" i="7"/>
  <c r="O290" i="7"/>
  <c r="N290" i="7"/>
  <c r="F290" i="7"/>
  <c r="C291" i="7"/>
  <c r="D291" i="7" s="1"/>
  <c r="M290" i="7"/>
  <c r="E290" i="7"/>
  <c r="I288" i="7"/>
  <c r="N291" i="7" l="1"/>
  <c r="F291" i="7"/>
  <c r="C292" i="7"/>
  <c r="D292" i="7" s="1"/>
  <c r="M291" i="7"/>
  <c r="E291" i="7"/>
  <c r="O291" i="7"/>
  <c r="I289" i="7"/>
  <c r="H290" i="7"/>
  <c r="G290" i="7"/>
  <c r="H291" i="7" l="1"/>
  <c r="G291" i="7"/>
  <c r="I290" i="7"/>
  <c r="O292" i="7"/>
  <c r="N292" i="7"/>
  <c r="F292" i="7"/>
  <c r="E292" i="7"/>
  <c r="C293" i="7"/>
  <c r="D293" i="7" s="1"/>
  <c r="M292" i="7"/>
  <c r="I291" i="7" l="1"/>
  <c r="N293" i="7"/>
  <c r="F293" i="7"/>
  <c r="C294" i="7"/>
  <c r="D294" i="7" s="1"/>
  <c r="M293" i="7"/>
  <c r="E293" i="7"/>
  <c r="O293" i="7"/>
  <c r="H292" i="7"/>
  <c r="G292" i="7"/>
  <c r="O294" i="7" l="1"/>
  <c r="N294" i="7"/>
  <c r="F294" i="7"/>
  <c r="E294" i="7"/>
  <c r="C295" i="7"/>
  <c r="D295" i="7" s="1"/>
  <c r="M294" i="7"/>
  <c r="H293" i="7"/>
  <c r="G293" i="7"/>
  <c r="I292" i="7"/>
  <c r="H294" i="7" l="1"/>
  <c r="G294" i="7"/>
  <c r="I293" i="7"/>
  <c r="N295" i="7"/>
  <c r="F295" i="7"/>
  <c r="C296" i="7"/>
  <c r="D296" i="7" s="1"/>
  <c r="M295" i="7"/>
  <c r="E295" i="7"/>
  <c r="O295" i="7"/>
  <c r="H295" i="7" l="1"/>
  <c r="G295" i="7"/>
  <c r="I294" i="7"/>
  <c r="O296" i="7"/>
  <c r="N296" i="7"/>
  <c r="F296" i="7"/>
  <c r="M296" i="7"/>
  <c r="E296" i="7"/>
  <c r="C297" i="7"/>
  <c r="D297" i="7" s="1"/>
  <c r="H296" i="7" l="1"/>
  <c r="G296" i="7"/>
  <c r="I295" i="7"/>
  <c r="N297" i="7"/>
  <c r="F297" i="7"/>
  <c r="C298" i="7"/>
  <c r="D298" i="7" s="1"/>
  <c r="M297" i="7"/>
  <c r="E297" i="7"/>
  <c r="O297" i="7"/>
  <c r="O298" i="7" l="1"/>
  <c r="N298" i="7"/>
  <c r="F298" i="7"/>
  <c r="C299" i="7"/>
  <c r="D299" i="7" s="1"/>
  <c r="M298" i="7"/>
  <c r="E298" i="7"/>
  <c r="I296" i="7"/>
  <c r="H297" i="7"/>
  <c r="G297" i="7"/>
  <c r="I297" i="7" l="1"/>
  <c r="N299" i="7"/>
  <c r="F299" i="7"/>
  <c r="C300" i="7"/>
  <c r="D300" i="7" s="1"/>
  <c r="M299" i="7"/>
  <c r="E299" i="7"/>
  <c r="O299" i="7"/>
  <c r="H298" i="7"/>
  <c r="G298" i="7"/>
  <c r="H299" i="7" l="1"/>
  <c r="G299" i="7"/>
  <c r="I298" i="7"/>
  <c r="O300" i="7"/>
  <c r="N300" i="7"/>
  <c r="F300" i="7"/>
  <c r="E300" i="7"/>
  <c r="C301" i="7"/>
  <c r="D301" i="7" s="1"/>
  <c r="M300" i="7"/>
  <c r="I299" i="7" l="1"/>
  <c r="N301" i="7"/>
  <c r="F301" i="7"/>
  <c r="C302" i="7"/>
  <c r="D302" i="7" s="1"/>
  <c r="M301" i="7"/>
  <c r="E301" i="7"/>
  <c r="O301" i="7"/>
  <c r="H300" i="7"/>
  <c r="G300" i="7"/>
  <c r="H301" i="7" l="1"/>
  <c r="G301" i="7"/>
  <c r="I300" i="7"/>
  <c r="O302" i="7"/>
  <c r="M302" i="7"/>
  <c r="C303" i="7"/>
  <c r="D303" i="7" s="1"/>
  <c r="F302" i="7"/>
  <c r="E302" i="7"/>
  <c r="N302" i="7"/>
  <c r="H302" i="7" l="1"/>
  <c r="G302" i="7"/>
  <c r="I301" i="7"/>
  <c r="C304" i="7"/>
  <c r="D304" i="7" s="1"/>
  <c r="M303" i="7"/>
  <c r="E303" i="7"/>
  <c r="O303" i="7"/>
  <c r="N303" i="7"/>
  <c r="F303" i="7"/>
  <c r="H303" i="7" l="1"/>
  <c r="G303" i="7"/>
  <c r="O304" i="7"/>
  <c r="C305" i="7"/>
  <c r="D305" i="7" s="1"/>
  <c r="F304" i="7"/>
  <c r="E304" i="7"/>
  <c r="N304" i="7"/>
  <c r="M304" i="7"/>
  <c r="I302" i="7"/>
  <c r="G304" i="7" l="1"/>
  <c r="H304" i="7"/>
  <c r="I303" i="7"/>
  <c r="C306" i="7"/>
  <c r="D306" i="7" s="1"/>
  <c r="M305" i="7"/>
  <c r="E305" i="7"/>
  <c r="N305" i="7"/>
  <c r="F305" i="7"/>
  <c r="O305" i="7"/>
  <c r="H305" i="7" l="1"/>
  <c r="G305" i="7"/>
  <c r="I304" i="7"/>
  <c r="O306" i="7"/>
  <c r="E306" i="7"/>
  <c r="N306" i="7"/>
  <c r="M306" i="7"/>
  <c r="C307" i="7"/>
  <c r="D307" i="7" s="1"/>
  <c r="F306" i="7"/>
  <c r="G306" i="7" l="1"/>
  <c r="H306" i="7"/>
  <c r="C308" i="7"/>
  <c r="D308" i="7" s="1"/>
  <c r="M307" i="7"/>
  <c r="E307" i="7"/>
  <c r="F307" i="7"/>
  <c r="O307" i="7"/>
  <c r="N307" i="7"/>
  <c r="I305" i="7"/>
  <c r="G307" i="7" l="1"/>
  <c r="H307" i="7"/>
  <c r="O308" i="7"/>
  <c r="N308" i="7"/>
  <c r="M308" i="7"/>
  <c r="C309" i="7"/>
  <c r="D309" i="7" s="1"/>
  <c r="F308" i="7"/>
  <c r="E308" i="7"/>
  <c r="I306" i="7"/>
  <c r="C310" i="7" l="1"/>
  <c r="D310" i="7" s="1"/>
  <c r="M309" i="7"/>
  <c r="E309" i="7"/>
  <c r="F309" i="7"/>
  <c r="O309" i="7"/>
  <c r="N309" i="7"/>
  <c r="G308" i="7"/>
  <c r="H308" i="7"/>
  <c r="I307" i="7"/>
  <c r="H309" i="7" l="1"/>
  <c r="G309" i="7"/>
  <c r="I308" i="7"/>
  <c r="O310" i="7"/>
  <c r="N310" i="7"/>
  <c r="F310" i="7"/>
  <c r="C311" i="7"/>
  <c r="D311" i="7" s="1"/>
  <c r="E310" i="7"/>
  <c r="M310" i="7"/>
  <c r="I309" i="7" l="1"/>
  <c r="G310" i="7"/>
  <c r="H310" i="7"/>
  <c r="C312" i="7"/>
  <c r="D312" i="7" s="1"/>
  <c r="M311" i="7"/>
  <c r="E311" i="7"/>
  <c r="N311" i="7"/>
  <c r="F311" i="7"/>
  <c r="O311" i="7"/>
  <c r="H311" i="7" l="1"/>
  <c r="G311" i="7"/>
  <c r="I310" i="7"/>
  <c r="O312" i="7"/>
  <c r="N312" i="7"/>
  <c r="F312" i="7"/>
  <c r="M312" i="7"/>
  <c r="E312" i="7"/>
  <c r="C313" i="7"/>
  <c r="D313" i="7" s="1"/>
  <c r="C314" i="7" l="1"/>
  <c r="D314" i="7" s="1"/>
  <c r="M313" i="7"/>
  <c r="E313" i="7"/>
  <c r="O313" i="7"/>
  <c r="N313" i="7"/>
  <c r="F313" i="7"/>
  <c r="I311" i="7"/>
  <c r="G312" i="7"/>
  <c r="H312" i="7"/>
  <c r="H313" i="7" l="1"/>
  <c r="G313" i="7"/>
  <c r="O314" i="7"/>
  <c r="N314" i="7"/>
  <c r="F314" i="7"/>
  <c r="C315" i="7"/>
  <c r="D315" i="7" s="1"/>
  <c r="M314" i="7"/>
  <c r="E314" i="7"/>
  <c r="I312" i="7"/>
  <c r="C316" i="7" l="1"/>
  <c r="D316" i="7" s="1"/>
  <c r="M315" i="7"/>
  <c r="E315" i="7"/>
  <c r="N315" i="7"/>
  <c r="F315" i="7"/>
  <c r="O315" i="7"/>
  <c r="I313" i="7"/>
  <c r="G314" i="7"/>
  <c r="H314" i="7"/>
  <c r="H315" i="7" l="1"/>
  <c r="G315" i="7"/>
  <c r="I314" i="7"/>
  <c r="O316" i="7"/>
  <c r="N316" i="7"/>
  <c r="F316" i="7"/>
  <c r="M316" i="7"/>
  <c r="E316" i="7"/>
  <c r="C317" i="7"/>
  <c r="D317" i="7" s="1"/>
  <c r="C318" i="7" l="1"/>
  <c r="D318" i="7" s="1"/>
  <c r="M317" i="7"/>
  <c r="E317" i="7"/>
  <c r="O317" i="7"/>
  <c r="N317" i="7"/>
  <c r="F317" i="7"/>
  <c r="I315" i="7"/>
  <c r="G316" i="7"/>
  <c r="H316" i="7"/>
  <c r="O318" i="7" l="1"/>
  <c r="N318" i="7"/>
  <c r="F318" i="7"/>
  <c r="C319" i="7"/>
  <c r="D319" i="7" s="1"/>
  <c r="M318" i="7"/>
  <c r="E318" i="7"/>
  <c r="H317" i="7"/>
  <c r="G317" i="7"/>
  <c r="I316" i="7"/>
  <c r="C320" i="7" l="1"/>
  <c r="D320" i="7" s="1"/>
  <c r="M319" i="7"/>
  <c r="E319" i="7"/>
  <c r="N319" i="7"/>
  <c r="F319" i="7"/>
  <c r="O319" i="7"/>
  <c r="G318" i="7"/>
  <c r="H318" i="7"/>
  <c r="I317" i="7"/>
  <c r="O320" i="7" l="1"/>
  <c r="N320" i="7"/>
  <c r="F320" i="7"/>
  <c r="M320" i="7"/>
  <c r="E320" i="7"/>
  <c r="C321" i="7"/>
  <c r="D321" i="7" s="1"/>
  <c r="I318" i="7"/>
  <c r="H319" i="7"/>
  <c r="G319" i="7"/>
  <c r="G320" i="7" l="1"/>
  <c r="H320" i="7"/>
  <c r="I319" i="7"/>
  <c r="C322" i="7"/>
  <c r="D322" i="7" s="1"/>
  <c r="M321" i="7"/>
  <c r="E321" i="7"/>
  <c r="O321" i="7"/>
  <c r="N321" i="7"/>
  <c r="F321" i="7"/>
  <c r="O322" i="7" l="1"/>
  <c r="N322" i="7"/>
  <c r="F322" i="7"/>
  <c r="C323" i="7"/>
  <c r="D323" i="7" s="1"/>
  <c r="M322" i="7"/>
  <c r="E322" i="7"/>
  <c r="H321" i="7"/>
  <c r="G321" i="7"/>
  <c r="I320" i="7"/>
  <c r="G322" i="7" l="1"/>
  <c r="H322" i="7"/>
  <c r="I321" i="7"/>
  <c r="C324" i="7"/>
  <c r="D324" i="7" s="1"/>
  <c r="M323" i="7"/>
  <c r="E323" i="7"/>
  <c r="N323" i="7"/>
  <c r="F323" i="7"/>
  <c r="O323" i="7"/>
  <c r="O324" i="7" l="1"/>
  <c r="N324" i="7"/>
  <c r="F324" i="7"/>
  <c r="M324" i="7"/>
  <c r="E324" i="7"/>
  <c r="C325" i="7"/>
  <c r="D325" i="7" s="1"/>
  <c r="H323" i="7"/>
  <c r="G323" i="7"/>
  <c r="I322" i="7"/>
  <c r="G324" i="7" l="1"/>
  <c r="H324" i="7"/>
  <c r="I323" i="7"/>
  <c r="C326" i="7"/>
  <c r="D326" i="7" s="1"/>
  <c r="M325" i="7"/>
  <c r="E325" i="7"/>
  <c r="O325" i="7"/>
  <c r="N325" i="7"/>
  <c r="F325" i="7"/>
  <c r="O326" i="7" l="1"/>
  <c r="N326" i="7"/>
  <c r="F326" i="7"/>
  <c r="C327" i="7"/>
  <c r="D327" i="7" s="1"/>
  <c r="E326" i="7"/>
  <c r="M326" i="7"/>
  <c r="H325" i="7"/>
  <c r="G325" i="7"/>
  <c r="I324" i="7"/>
  <c r="G326" i="7" l="1"/>
  <c r="H326" i="7"/>
  <c r="I325" i="7"/>
  <c r="C328" i="7"/>
  <c r="D328" i="7" s="1"/>
  <c r="F327" i="7"/>
  <c r="O327" i="7"/>
  <c r="E327" i="7"/>
  <c r="N327" i="7"/>
  <c r="M327" i="7"/>
  <c r="O328" i="7" l="1"/>
  <c r="N328" i="7"/>
  <c r="F328" i="7"/>
  <c r="M328" i="7"/>
  <c r="C329" i="7"/>
  <c r="D329" i="7" s="1"/>
  <c r="E328" i="7"/>
  <c r="H327" i="7"/>
  <c r="G327" i="7"/>
  <c r="I326" i="7"/>
  <c r="H328" i="7" l="1"/>
  <c r="G328" i="7"/>
  <c r="I327" i="7"/>
  <c r="C330" i="7"/>
  <c r="D330" i="7" s="1"/>
  <c r="M329" i="7"/>
  <c r="E329" i="7"/>
  <c r="O329" i="7"/>
  <c r="N329" i="7"/>
  <c r="F329" i="7"/>
  <c r="I328" i="7" l="1"/>
  <c r="O330" i="7"/>
  <c r="N330" i="7"/>
  <c r="F330" i="7"/>
  <c r="C331" i="7"/>
  <c r="D331" i="7" s="1"/>
  <c r="E330" i="7"/>
  <c r="M330" i="7"/>
  <c r="H329" i="7"/>
  <c r="G329" i="7"/>
  <c r="G330" i="7" l="1"/>
  <c r="H330" i="7"/>
  <c r="I329" i="7"/>
  <c r="C332" i="7"/>
  <c r="D332" i="7" s="1"/>
  <c r="M331" i="7"/>
  <c r="E331" i="7"/>
  <c r="N331" i="7"/>
  <c r="F331" i="7"/>
  <c r="O331" i="7"/>
  <c r="O332" i="7" l="1"/>
  <c r="N332" i="7"/>
  <c r="F332" i="7"/>
  <c r="M332" i="7"/>
  <c r="E332" i="7"/>
  <c r="C333" i="7"/>
  <c r="D333" i="7" s="1"/>
  <c r="H331" i="7"/>
  <c r="G331" i="7"/>
  <c r="I330" i="7"/>
  <c r="C334" i="7" l="1"/>
  <c r="D334" i="7" s="1"/>
  <c r="M333" i="7"/>
  <c r="E333" i="7"/>
  <c r="O333" i="7"/>
  <c r="F333" i="7"/>
  <c r="N333" i="7"/>
  <c r="G332" i="7"/>
  <c r="H332" i="7"/>
  <c r="I331" i="7"/>
  <c r="H333" i="7" l="1"/>
  <c r="G333" i="7"/>
  <c r="I332" i="7"/>
  <c r="O334" i="7"/>
  <c r="N334" i="7"/>
  <c r="F334" i="7"/>
  <c r="C335" i="7"/>
  <c r="D335" i="7" s="1"/>
  <c r="M334" i="7"/>
  <c r="E334" i="7"/>
  <c r="G334" i="7" l="1"/>
  <c r="H334" i="7"/>
  <c r="I333" i="7"/>
  <c r="C336" i="7"/>
  <c r="D336" i="7" s="1"/>
  <c r="M335" i="7"/>
  <c r="E335" i="7"/>
  <c r="N335" i="7"/>
  <c r="F335" i="7"/>
  <c r="O335" i="7"/>
  <c r="H335" i="7" l="1"/>
  <c r="G335" i="7"/>
  <c r="O336" i="7"/>
  <c r="N336" i="7"/>
  <c r="F336" i="7"/>
  <c r="M336" i="7"/>
  <c r="E336" i="7"/>
  <c r="C337" i="7"/>
  <c r="D337" i="7" s="1"/>
  <c r="I334" i="7"/>
  <c r="G336" i="7" l="1"/>
  <c r="H336" i="7"/>
  <c r="I335" i="7"/>
  <c r="C338" i="7"/>
  <c r="D338" i="7" s="1"/>
  <c r="M337" i="7"/>
  <c r="E337" i="7"/>
  <c r="O337" i="7"/>
  <c r="N337" i="7"/>
  <c r="F337" i="7"/>
  <c r="O338" i="7" l="1"/>
  <c r="N338" i="7"/>
  <c r="F338" i="7"/>
  <c r="C339" i="7"/>
  <c r="D339" i="7" s="1"/>
  <c r="E338" i="7"/>
  <c r="M338" i="7"/>
  <c r="H337" i="7"/>
  <c r="G337" i="7"/>
  <c r="I336" i="7"/>
  <c r="G338" i="7" l="1"/>
  <c r="H338" i="7"/>
  <c r="I337" i="7"/>
  <c r="C340" i="7"/>
  <c r="D340" i="7" s="1"/>
  <c r="M339" i="7"/>
  <c r="E339" i="7"/>
  <c r="N339" i="7"/>
  <c r="F339" i="7"/>
  <c r="O339" i="7"/>
  <c r="O340" i="7" l="1"/>
  <c r="N340" i="7"/>
  <c r="F340" i="7"/>
  <c r="M340" i="7"/>
  <c r="E340" i="7"/>
  <c r="C341" i="7"/>
  <c r="D341" i="7" s="1"/>
  <c r="H339" i="7"/>
  <c r="G339" i="7"/>
  <c r="I338" i="7"/>
  <c r="G340" i="7" l="1"/>
  <c r="H340" i="7"/>
  <c r="C342" i="7"/>
  <c r="D342" i="7" s="1"/>
  <c r="M341" i="7"/>
  <c r="E341" i="7"/>
  <c r="O341" i="7"/>
  <c r="F341" i="7"/>
  <c r="N341" i="7"/>
  <c r="I339" i="7"/>
  <c r="H341" i="7" l="1"/>
  <c r="G341" i="7"/>
  <c r="O342" i="7"/>
  <c r="N342" i="7"/>
  <c r="F342" i="7"/>
  <c r="C343" i="7"/>
  <c r="D343" i="7" s="1"/>
  <c r="M342" i="7"/>
  <c r="E342" i="7"/>
  <c r="I340" i="7"/>
  <c r="I341" i="7" l="1"/>
  <c r="G342" i="7"/>
  <c r="H342" i="7"/>
  <c r="C344" i="7"/>
  <c r="D344" i="7" s="1"/>
  <c r="M343" i="7"/>
  <c r="E343" i="7"/>
  <c r="N343" i="7"/>
  <c r="F343" i="7"/>
  <c r="O343" i="7"/>
  <c r="O344" i="7" l="1"/>
  <c r="N344" i="7"/>
  <c r="F344" i="7"/>
  <c r="M344" i="7"/>
  <c r="E344" i="7"/>
  <c r="C345" i="7"/>
  <c r="D345" i="7" s="1"/>
  <c r="I342" i="7"/>
  <c r="H343" i="7"/>
  <c r="G343" i="7"/>
  <c r="I343" i="7" l="1"/>
  <c r="C346" i="7"/>
  <c r="D346" i="7" s="1"/>
  <c r="M345" i="7"/>
  <c r="E345" i="7"/>
  <c r="O345" i="7"/>
  <c r="N345" i="7"/>
  <c r="F345" i="7"/>
  <c r="G344" i="7"/>
  <c r="H344" i="7"/>
  <c r="I344" i="7" l="1"/>
  <c r="O346" i="7"/>
  <c r="N346" i="7"/>
  <c r="F346" i="7"/>
  <c r="C347" i="7"/>
  <c r="D347" i="7" s="1"/>
  <c r="E346" i="7"/>
  <c r="M346" i="7"/>
  <c r="H345" i="7"/>
  <c r="G345" i="7"/>
  <c r="G346" i="7" l="1"/>
  <c r="H346" i="7"/>
  <c r="I345" i="7"/>
  <c r="C348" i="7"/>
  <c r="D348" i="7" s="1"/>
  <c r="M347" i="7"/>
  <c r="E347" i="7"/>
  <c r="N347" i="7"/>
  <c r="F347" i="7"/>
  <c r="O347" i="7"/>
  <c r="H347" i="7" l="1"/>
  <c r="G347" i="7"/>
  <c r="O348" i="7"/>
  <c r="N348" i="7"/>
  <c r="F348" i="7"/>
  <c r="M348" i="7"/>
  <c r="E348" i="7"/>
  <c r="C349" i="7"/>
  <c r="D349" i="7" s="1"/>
  <c r="I346" i="7"/>
  <c r="G348" i="7" l="1"/>
  <c r="H348" i="7"/>
  <c r="I347" i="7"/>
  <c r="C350" i="7"/>
  <c r="D350" i="7" s="1"/>
  <c r="M349" i="7"/>
  <c r="E349" i="7"/>
  <c r="O349" i="7"/>
  <c r="F349" i="7"/>
  <c r="N349" i="7"/>
  <c r="O350" i="7" l="1"/>
  <c r="N350" i="7"/>
  <c r="F350" i="7"/>
  <c r="C351" i="7"/>
  <c r="D351" i="7" s="1"/>
  <c r="M350" i="7"/>
  <c r="E350" i="7"/>
  <c r="H349" i="7"/>
  <c r="G349" i="7"/>
  <c r="I348" i="7"/>
  <c r="G350" i="7" l="1"/>
  <c r="H350" i="7"/>
  <c r="C352" i="7"/>
  <c r="D352" i="7" s="1"/>
  <c r="M351" i="7"/>
  <c r="E351" i="7"/>
  <c r="N351" i="7"/>
  <c r="F351" i="7"/>
  <c r="O351" i="7"/>
  <c r="I349" i="7"/>
  <c r="H351" i="7" l="1"/>
  <c r="G351" i="7"/>
  <c r="I350" i="7"/>
  <c r="O352" i="7"/>
  <c r="N352" i="7"/>
  <c r="F352" i="7"/>
  <c r="M352" i="7"/>
  <c r="E352" i="7"/>
  <c r="C353" i="7"/>
  <c r="D353" i="7" s="1"/>
  <c r="G352" i="7" l="1"/>
  <c r="H352" i="7"/>
  <c r="I351" i="7"/>
  <c r="C354" i="7"/>
  <c r="D354" i="7" s="1"/>
  <c r="M353" i="7"/>
  <c r="E353" i="7"/>
  <c r="O353" i="7"/>
  <c r="N353" i="7"/>
  <c r="F353" i="7"/>
  <c r="H353" i="7" l="1"/>
  <c r="G353" i="7"/>
  <c r="O354" i="7"/>
  <c r="N354" i="7"/>
  <c r="F354" i="7"/>
  <c r="C355" i="7"/>
  <c r="D355" i="7" s="1"/>
  <c r="E354" i="7"/>
  <c r="M354" i="7"/>
  <c r="I352" i="7"/>
  <c r="I353" i="7" l="1"/>
  <c r="C356" i="7"/>
  <c r="D356" i="7" s="1"/>
  <c r="M355" i="7"/>
  <c r="E355" i="7"/>
  <c r="N355" i="7"/>
  <c r="F355" i="7"/>
  <c r="O355" i="7"/>
  <c r="G354" i="7"/>
  <c r="H354" i="7"/>
  <c r="H355" i="7" l="1"/>
  <c r="G355" i="7"/>
  <c r="O356" i="7"/>
  <c r="N356" i="7"/>
  <c r="F356" i="7"/>
  <c r="M356" i="7"/>
  <c r="E356" i="7"/>
  <c r="C357" i="7"/>
  <c r="D357" i="7" s="1"/>
  <c r="I354" i="7"/>
  <c r="I355" i="7" l="1"/>
  <c r="C358" i="7"/>
  <c r="D358" i="7" s="1"/>
  <c r="M357" i="7"/>
  <c r="E357" i="7"/>
  <c r="O357" i="7"/>
  <c r="F357" i="7"/>
  <c r="N357" i="7"/>
  <c r="G356" i="7"/>
  <c r="H356" i="7"/>
  <c r="O358" i="7" l="1"/>
  <c r="N358" i="7"/>
  <c r="F358" i="7"/>
  <c r="C359" i="7"/>
  <c r="D359" i="7" s="1"/>
  <c r="M358" i="7"/>
  <c r="E358" i="7"/>
  <c r="H357" i="7"/>
  <c r="G357" i="7"/>
  <c r="I356" i="7"/>
  <c r="O359" i="7" l="1"/>
  <c r="E359" i="7"/>
  <c r="N359" i="7"/>
  <c r="C360" i="7"/>
  <c r="D360" i="7" s="1"/>
  <c r="F359" i="7"/>
  <c r="M359" i="7"/>
  <c r="G358" i="7"/>
  <c r="H358" i="7"/>
  <c r="I357" i="7"/>
  <c r="N360" i="7" l="1"/>
  <c r="F360" i="7"/>
  <c r="C361" i="7"/>
  <c r="D361" i="7" s="1"/>
  <c r="E360" i="7"/>
  <c r="M360" i="7"/>
  <c r="O360" i="7"/>
  <c r="H359" i="7"/>
  <c r="G359" i="7"/>
  <c r="I358" i="7"/>
  <c r="N361" i="7" l="1"/>
  <c r="M361" i="7"/>
  <c r="C362" i="7"/>
  <c r="D362" i="7" s="1"/>
  <c r="F361" i="7"/>
  <c r="E361" i="7"/>
  <c r="O361" i="7"/>
  <c r="G360" i="7"/>
  <c r="H360" i="7"/>
  <c r="I359" i="7"/>
  <c r="I360" i="7" l="1"/>
  <c r="N362" i="7"/>
  <c r="F362" i="7"/>
  <c r="E362" i="7"/>
  <c r="O362" i="7"/>
  <c r="C363" i="7"/>
  <c r="D363" i="7" s="1"/>
  <c r="M362" i="7"/>
  <c r="H361" i="7"/>
  <c r="G361" i="7"/>
  <c r="M363" i="7" l="1"/>
  <c r="C364" i="7"/>
  <c r="D364" i="7" s="1"/>
  <c r="F363" i="7"/>
  <c r="N363" i="7"/>
  <c r="E363" i="7"/>
  <c r="O363" i="7"/>
  <c r="I361" i="7"/>
  <c r="G362" i="7"/>
  <c r="H362" i="7"/>
  <c r="N364" i="7" l="1"/>
  <c r="F364" i="7"/>
  <c r="O364" i="7"/>
  <c r="M364" i="7"/>
  <c r="C365" i="7"/>
  <c r="D365" i="7" s="1"/>
  <c r="E364" i="7"/>
  <c r="I362" i="7"/>
  <c r="H363" i="7"/>
  <c r="G363" i="7"/>
  <c r="H364" i="7" l="1"/>
  <c r="G364" i="7"/>
  <c r="I363" i="7"/>
  <c r="C366" i="7"/>
  <c r="D366" i="7" s="1"/>
  <c r="F365" i="7"/>
  <c r="O365" i="7"/>
  <c r="E365" i="7"/>
  <c r="N365" i="7"/>
  <c r="M365" i="7"/>
  <c r="N366" i="7" l="1"/>
  <c r="F366" i="7"/>
  <c r="M366" i="7"/>
  <c r="C367" i="7"/>
  <c r="D367" i="7" s="1"/>
  <c r="O366" i="7"/>
  <c r="E366" i="7"/>
  <c r="I364" i="7"/>
  <c r="H365" i="7"/>
  <c r="G365" i="7"/>
  <c r="O367" i="7" l="1"/>
  <c r="E367" i="7"/>
  <c r="N367" i="7"/>
  <c r="M367" i="7"/>
  <c r="F367" i="7"/>
  <c r="C368" i="7"/>
  <c r="D368" i="7" s="1"/>
  <c r="I365" i="7"/>
  <c r="H366" i="7"/>
  <c r="G366" i="7"/>
  <c r="I366" i="7" l="1"/>
  <c r="O368" i="7"/>
  <c r="N368" i="7"/>
  <c r="F368" i="7"/>
  <c r="M368" i="7"/>
  <c r="E368" i="7"/>
  <c r="C369" i="7"/>
  <c r="D369" i="7" s="1"/>
  <c r="H367" i="7"/>
  <c r="G367" i="7"/>
  <c r="G368" i="7" l="1"/>
  <c r="H368" i="7"/>
  <c r="C370" i="7"/>
  <c r="D370" i="7" s="1"/>
  <c r="M369" i="7"/>
  <c r="E369" i="7"/>
  <c r="O369" i="7"/>
  <c r="N369" i="7"/>
  <c r="F369" i="7"/>
  <c r="I367" i="7"/>
  <c r="O370" i="7" l="1"/>
  <c r="N370" i="7"/>
  <c r="F370" i="7"/>
  <c r="C371" i="7"/>
  <c r="D371" i="7" s="1"/>
  <c r="E370" i="7"/>
  <c r="M370" i="7"/>
  <c r="H369" i="7"/>
  <c r="G369" i="7"/>
  <c r="I368" i="7"/>
  <c r="C372" i="7" l="1"/>
  <c r="D372" i="7" s="1"/>
  <c r="M371" i="7"/>
  <c r="E371" i="7"/>
  <c r="N371" i="7"/>
  <c r="O371" i="7"/>
  <c r="F371" i="7"/>
  <c r="I369" i="7"/>
  <c r="G370" i="7"/>
  <c r="H370" i="7"/>
  <c r="H371" i="7" l="1"/>
  <c r="G371" i="7"/>
  <c r="I370" i="7"/>
  <c r="O372" i="7"/>
  <c r="N372" i="7"/>
  <c r="F372" i="7"/>
  <c r="M372" i="7"/>
  <c r="E372" i="7"/>
  <c r="C373" i="7"/>
  <c r="D373" i="7" s="1"/>
  <c r="C374" i="7" l="1"/>
  <c r="D374" i="7" s="1"/>
  <c r="M373" i="7"/>
  <c r="E373" i="7"/>
  <c r="O373" i="7"/>
  <c r="N373" i="7"/>
  <c r="F373" i="7"/>
  <c r="I371" i="7"/>
  <c r="G372" i="7"/>
  <c r="H372" i="7"/>
  <c r="H373" i="7" l="1"/>
  <c r="G373" i="7"/>
  <c r="I372" i="7"/>
  <c r="O374" i="7"/>
  <c r="N374" i="7"/>
  <c r="F374" i="7"/>
  <c r="C375" i="7"/>
  <c r="D375" i="7" s="1"/>
  <c r="M374" i="7"/>
  <c r="E374" i="7"/>
  <c r="G374" i="7" l="1"/>
  <c r="H374" i="7"/>
  <c r="C376" i="7"/>
  <c r="D376" i="7" s="1"/>
  <c r="M375" i="7"/>
  <c r="E375" i="7"/>
  <c r="F375" i="7"/>
  <c r="O375" i="7"/>
  <c r="N375" i="7"/>
  <c r="I373" i="7"/>
  <c r="N376" i="7" l="1"/>
  <c r="C377" i="7"/>
  <c r="D377" i="7" s="1"/>
  <c r="F376" i="7"/>
  <c r="O376" i="7"/>
  <c r="E376" i="7"/>
  <c r="M376" i="7"/>
  <c r="H375" i="7"/>
  <c r="G375" i="7"/>
  <c r="I374" i="7"/>
  <c r="G376" i="7" l="1"/>
  <c r="H376" i="7"/>
  <c r="N377" i="7"/>
  <c r="M377" i="7"/>
  <c r="O377" i="7"/>
  <c r="F377" i="7"/>
  <c r="C378" i="7"/>
  <c r="D378" i="7" s="1"/>
  <c r="E377" i="7"/>
  <c r="I375" i="7"/>
  <c r="I376" i="7" l="1"/>
  <c r="H377" i="7"/>
  <c r="G377" i="7"/>
  <c r="N378" i="7"/>
  <c r="F378" i="7"/>
  <c r="E378" i="7"/>
  <c r="O378" i="7"/>
  <c r="C379" i="7"/>
  <c r="D379" i="7" s="1"/>
  <c r="M378" i="7"/>
  <c r="M379" i="7" l="1"/>
  <c r="C380" i="7"/>
  <c r="D380" i="7" s="1"/>
  <c r="F379" i="7"/>
  <c r="O379" i="7"/>
  <c r="E379" i="7"/>
  <c r="N379" i="7"/>
  <c r="H378" i="7"/>
  <c r="G378" i="7"/>
  <c r="I377" i="7"/>
  <c r="I378" i="7" l="1"/>
  <c r="N380" i="7"/>
  <c r="F380" i="7"/>
  <c r="O380" i="7"/>
  <c r="M380" i="7"/>
  <c r="C381" i="7"/>
  <c r="D381" i="7" s="1"/>
  <c r="E380" i="7"/>
  <c r="H379" i="7"/>
  <c r="G379" i="7"/>
  <c r="M381" i="7" l="1"/>
  <c r="C382" i="7"/>
  <c r="D382" i="7" s="1"/>
  <c r="F381" i="7"/>
  <c r="O381" i="7"/>
  <c r="E381" i="7"/>
  <c r="N381" i="7"/>
  <c r="I379" i="7"/>
  <c r="H380" i="7"/>
  <c r="G380" i="7"/>
  <c r="I380" i="7" l="1"/>
  <c r="N382" i="7"/>
  <c r="F382" i="7"/>
  <c r="O382" i="7"/>
  <c r="M382" i="7"/>
  <c r="C383" i="7"/>
  <c r="D383" i="7" s="1"/>
  <c r="E382" i="7"/>
  <c r="H381" i="7"/>
  <c r="G381" i="7"/>
  <c r="N383" i="7" l="1"/>
  <c r="M383" i="7"/>
  <c r="F383" i="7"/>
  <c r="E383" i="7"/>
  <c r="C384" i="7"/>
  <c r="D384" i="7" s="1"/>
  <c r="O383" i="7"/>
  <c r="I381" i="7"/>
  <c r="H382" i="7"/>
  <c r="G382" i="7"/>
  <c r="H383" i="7" l="1"/>
  <c r="G383" i="7"/>
  <c r="I382" i="7"/>
  <c r="N384" i="7"/>
  <c r="F384" i="7"/>
  <c r="E384" i="7"/>
  <c r="M384" i="7"/>
  <c r="C385" i="7"/>
  <c r="D385" i="7" s="1"/>
  <c r="O384" i="7"/>
  <c r="I383" i="7" l="1"/>
  <c r="M385" i="7"/>
  <c r="N385" i="7"/>
  <c r="F385" i="7"/>
  <c r="E385" i="7"/>
  <c r="C386" i="7"/>
  <c r="D386" i="7" s="1"/>
  <c r="O385" i="7"/>
  <c r="G384" i="7"/>
  <c r="H384" i="7"/>
  <c r="N386" i="7" l="1"/>
  <c r="F386" i="7"/>
  <c r="O386" i="7"/>
  <c r="M386" i="7"/>
  <c r="E386" i="7"/>
  <c r="C387" i="7"/>
  <c r="D387" i="7" s="1"/>
  <c r="I384" i="7"/>
  <c r="H385" i="7"/>
  <c r="G385" i="7"/>
  <c r="N387" i="7" l="1"/>
  <c r="C388" i="7"/>
  <c r="D388" i="7" s="1"/>
  <c r="F387" i="7"/>
  <c r="O387" i="7"/>
  <c r="M387" i="7"/>
  <c r="E387" i="7"/>
  <c r="I385" i="7"/>
  <c r="G386" i="7"/>
  <c r="H386" i="7"/>
  <c r="I386" i="7" l="1"/>
  <c r="H387" i="7"/>
  <c r="G387" i="7"/>
  <c r="N388" i="7"/>
  <c r="E388" i="7"/>
  <c r="C389" i="7"/>
  <c r="D389" i="7" s="1"/>
  <c r="O388" i="7"/>
  <c r="F388" i="7"/>
  <c r="M388" i="7"/>
  <c r="H388" i="7" l="1"/>
  <c r="G388" i="7"/>
  <c r="N389" i="7"/>
  <c r="F389" i="7"/>
  <c r="E389" i="7"/>
  <c r="O389" i="7"/>
  <c r="M389" i="7"/>
  <c r="C390" i="7"/>
  <c r="D390" i="7" s="1"/>
  <c r="I387" i="7"/>
  <c r="G389" i="7" l="1"/>
  <c r="H389" i="7"/>
  <c r="M390" i="7"/>
  <c r="E390" i="7"/>
  <c r="C391" i="7"/>
  <c r="D391" i="7" s="1"/>
  <c r="O390" i="7"/>
  <c r="F390" i="7"/>
  <c r="N390" i="7"/>
  <c r="I388" i="7"/>
  <c r="N391" i="7" l="1"/>
  <c r="F391" i="7"/>
  <c r="O391" i="7"/>
  <c r="E391" i="7"/>
  <c r="M391" i="7"/>
  <c r="C392" i="7"/>
  <c r="D392" i="7" s="1"/>
  <c r="I389" i="7"/>
  <c r="H390" i="7"/>
  <c r="G390" i="7"/>
  <c r="G391" i="7" l="1"/>
  <c r="H391" i="7"/>
  <c r="I390" i="7"/>
  <c r="C393" i="7"/>
  <c r="D393" i="7" s="1"/>
  <c r="F392" i="7"/>
  <c r="M392" i="7"/>
  <c r="E392" i="7"/>
  <c r="O392" i="7"/>
  <c r="N392" i="7"/>
  <c r="N393" i="7" l="1"/>
  <c r="F393" i="7"/>
  <c r="M393" i="7"/>
  <c r="E393" i="7"/>
  <c r="O393" i="7"/>
  <c r="C394" i="7"/>
  <c r="D394" i="7" s="1"/>
  <c r="H392" i="7"/>
  <c r="G392" i="7"/>
  <c r="I391" i="7"/>
  <c r="O394" i="7" l="1"/>
  <c r="E394" i="7"/>
  <c r="M394" i="7"/>
  <c r="F394" i="7"/>
  <c r="C395" i="7"/>
  <c r="D395" i="7" s="1"/>
  <c r="N394" i="7"/>
  <c r="I392" i="7"/>
  <c r="H393" i="7"/>
  <c r="G393" i="7"/>
  <c r="H394" i="7" l="1"/>
  <c r="G394" i="7"/>
  <c r="I393" i="7"/>
  <c r="N395" i="7"/>
  <c r="F395" i="7"/>
  <c r="C396" i="7"/>
  <c r="D396" i="7" s="1"/>
  <c r="M395" i="7"/>
  <c r="E395" i="7"/>
  <c r="O395" i="7"/>
  <c r="G395" i="7" l="1"/>
  <c r="H395" i="7"/>
  <c r="I394" i="7"/>
  <c r="N396" i="7"/>
  <c r="M396" i="7"/>
  <c r="F396" i="7"/>
  <c r="C397" i="7"/>
  <c r="D397" i="7" s="1"/>
  <c r="E396" i="7"/>
  <c r="O396" i="7"/>
  <c r="H396" i="7" l="1"/>
  <c r="G396" i="7"/>
  <c r="I395" i="7"/>
  <c r="N397" i="7"/>
  <c r="F397" i="7"/>
  <c r="E397" i="7"/>
  <c r="M397" i="7"/>
  <c r="C398" i="7"/>
  <c r="D398" i="7" s="1"/>
  <c r="O397" i="7"/>
  <c r="I396" i="7" l="1"/>
  <c r="G397" i="7"/>
  <c r="H397" i="7"/>
  <c r="M398" i="7"/>
  <c r="N398" i="7"/>
  <c r="F398" i="7"/>
  <c r="C399" i="7"/>
  <c r="D399" i="7" s="1"/>
  <c r="O398" i="7"/>
  <c r="E398" i="7"/>
  <c r="H398" i="7" l="1"/>
  <c r="G398" i="7"/>
  <c r="N399" i="7"/>
  <c r="F399" i="7"/>
  <c r="O399" i="7"/>
  <c r="M399" i="7"/>
  <c r="C400" i="7"/>
  <c r="D400" i="7" s="1"/>
  <c r="E399" i="7"/>
  <c r="I397" i="7"/>
  <c r="G399" i="7" l="1"/>
  <c r="H399" i="7"/>
  <c r="C401" i="7"/>
  <c r="D401" i="7" s="1"/>
  <c r="F400" i="7"/>
  <c r="N400" i="7"/>
  <c r="M400" i="7"/>
  <c r="O400" i="7"/>
  <c r="E400" i="7"/>
  <c r="I398" i="7"/>
  <c r="N401" i="7" l="1"/>
  <c r="F401" i="7"/>
  <c r="M401" i="7"/>
  <c r="O401" i="7"/>
  <c r="C402" i="7"/>
  <c r="D402" i="7" s="1"/>
  <c r="E401" i="7"/>
  <c r="I399" i="7"/>
  <c r="H400" i="7"/>
  <c r="G400" i="7"/>
  <c r="H401" i="7" l="1"/>
  <c r="G401" i="7"/>
  <c r="I400" i="7"/>
  <c r="O402" i="7"/>
  <c r="E402" i="7"/>
  <c r="N402" i="7"/>
  <c r="M402" i="7"/>
  <c r="C403" i="7"/>
  <c r="D403" i="7" s="1"/>
  <c r="F402" i="7"/>
  <c r="N403" i="7" l="1"/>
  <c r="F403" i="7"/>
  <c r="C404" i="7"/>
  <c r="D404" i="7" s="1"/>
  <c r="O403" i="7"/>
  <c r="E403" i="7"/>
  <c r="M403" i="7"/>
  <c r="I401" i="7"/>
  <c r="H402" i="7"/>
  <c r="G402" i="7"/>
  <c r="I402" i="7" l="1"/>
  <c r="G403" i="7"/>
  <c r="H403" i="7"/>
  <c r="N404" i="7"/>
  <c r="O404" i="7"/>
  <c r="M404" i="7"/>
  <c r="E404" i="7"/>
  <c r="F404" i="7"/>
  <c r="K5" i="7" l="1"/>
  <c r="H404" i="7"/>
  <c r="G404" i="7"/>
  <c r="J5" i="7"/>
  <c r="I403" i="7"/>
  <c r="I404" i="7" l="1"/>
  <c r="L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J404" i="7"/>
  <c r="K404" i="7"/>
  <c r="L6" i="7" l="1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</calcChain>
</file>

<file path=xl/sharedStrings.xml><?xml version="1.0" encoding="utf-8"?>
<sst xmlns="http://schemas.openxmlformats.org/spreadsheetml/2006/main" count="241" uniqueCount="176">
  <si>
    <t>Your Actual Data of Income</t>
  </si>
  <si>
    <t>InHand (Bank) Holding</t>
  </si>
  <si>
    <t>Crypto Holdings</t>
  </si>
  <si>
    <t>Shares &amp; Commodities Holdings</t>
  </si>
  <si>
    <t>Total Wealth Savings</t>
  </si>
  <si>
    <t>Expense Data</t>
  </si>
  <si>
    <t>Date (MM-DD-YYYY)</t>
  </si>
  <si>
    <t>Month (Ctrl-D)</t>
  </si>
  <si>
    <t>Store / Vendor</t>
  </si>
  <si>
    <t>Amount</t>
  </si>
  <si>
    <t>Expense Category</t>
  </si>
  <si>
    <t>ExpenseKeys</t>
  </si>
  <si>
    <t>Notes (Optional)</t>
  </si>
  <si>
    <t>Kings Restaurant LLP</t>
  </si>
  <si>
    <t>Restaurant &amp; Dining Out</t>
  </si>
  <si>
    <t>Ice Cream Bring for sis</t>
  </si>
  <si>
    <t>Lobh Petrolleum</t>
  </si>
  <si>
    <t>Fuel</t>
  </si>
  <si>
    <t xml:space="preserve">Mahender Sir Car CNG </t>
  </si>
  <si>
    <t>Snacks &amp; Quick Bites</t>
  </si>
  <si>
    <t>Gifts</t>
  </si>
  <si>
    <t>Personal Care</t>
  </si>
  <si>
    <t>Loans Given &amp; Taken</t>
  </si>
  <si>
    <t>Travel</t>
  </si>
  <si>
    <t>Medical</t>
  </si>
  <si>
    <t>Bills &amp; Utilities</t>
  </si>
  <si>
    <t>Repair &amp; Maintenance</t>
  </si>
  <si>
    <t>Education</t>
  </si>
  <si>
    <t>Investments</t>
  </si>
  <si>
    <t>Shopping</t>
  </si>
  <si>
    <t>Other</t>
  </si>
  <si>
    <t>Electronics &amp; Gadgets</t>
  </si>
  <si>
    <t>Groceries</t>
  </si>
  <si>
    <t>Commute</t>
  </si>
  <si>
    <t>HouseHold</t>
  </si>
  <si>
    <t>Subscriptions &amp; Memberships</t>
  </si>
  <si>
    <t>Fines &amp; Penalties</t>
  </si>
  <si>
    <t>Insurance</t>
  </si>
  <si>
    <t>Entertainment</t>
  </si>
  <si>
    <t>Income Data</t>
  </si>
  <si>
    <t>Source</t>
  </si>
  <si>
    <t>Income Category</t>
  </si>
  <si>
    <t>Job / Salary</t>
  </si>
  <si>
    <t>Feb Salary</t>
  </si>
  <si>
    <t>Expense Money</t>
  </si>
  <si>
    <t>Side Income</t>
  </si>
  <si>
    <t>InHand Data</t>
  </si>
  <si>
    <t>Personal SBI Account</t>
  </si>
  <si>
    <t>Personal SBI (Saving)</t>
  </si>
  <si>
    <t>All time Saving</t>
  </si>
  <si>
    <t>SBI FD</t>
  </si>
  <si>
    <r>
      <rPr>
        <b/>
        <sz val="11"/>
        <color theme="1"/>
        <rFont val="Arial"/>
      </rPr>
      <t>Start of time period</t>
    </r>
    <r>
      <rPr>
        <sz val="11"/>
        <color theme="1"/>
        <rFont val="Arial"/>
      </rPr>
      <t xml:space="preserve"> (MM-DD-YYYY):</t>
    </r>
  </si>
  <si>
    <t>&lt;&lt;&lt; Input here</t>
  </si>
  <si>
    <r>
      <rPr>
        <b/>
        <sz val="11"/>
        <color theme="1"/>
        <rFont val="Arial"/>
      </rPr>
      <t>End of time period</t>
    </r>
    <r>
      <rPr>
        <sz val="11"/>
        <color theme="1"/>
        <rFont val="Arial"/>
      </rPr>
      <t xml:space="preserve"> (MM-DD-YYYY):</t>
    </r>
  </si>
  <si>
    <t>Implied # of months</t>
  </si>
  <si>
    <t>Expenses by Category</t>
  </si>
  <si>
    <t>Variance to Budget
(Your Actuals Minus Your Target)</t>
  </si>
  <si>
    <t>Expense Categories</t>
  </si>
  <si>
    <t>Actual Expenses</t>
  </si>
  <si>
    <t>Budget Target</t>
  </si>
  <si>
    <t>$</t>
  </si>
  <si>
    <t>%</t>
  </si>
  <si>
    <t>Total Expenses</t>
  </si>
  <si>
    <t>Income by Category</t>
  </si>
  <si>
    <t>Variance to Budget</t>
  </si>
  <si>
    <t>Income Categories</t>
  </si>
  <si>
    <t>Actual Income</t>
  </si>
  <si>
    <t>Total Income</t>
  </si>
  <si>
    <t>Summary</t>
  </si>
  <si>
    <t>Actual</t>
  </si>
  <si>
    <t>Implied Total Savings</t>
  </si>
  <si>
    <t>Implied savings rate</t>
  </si>
  <si>
    <t>Your Actual Spending
(Based on the data you've entered so far)</t>
  </si>
  <si>
    <t>Your Budget Target
(to be Manually Entered in Column G)</t>
  </si>
  <si>
    <t>Monthly Average</t>
  </si>
  <si>
    <t>Monthly Spend</t>
  </si>
  <si>
    <t>Implied Annual Spend</t>
  </si>
  <si>
    <t>Your Actual Income</t>
  </si>
  <si>
    <t>Your Budget Target</t>
  </si>
  <si>
    <t>Monthly Income</t>
  </si>
  <si>
    <t>Implied Annual Income</t>
  </si>
  <si>
    <t>Your Actual Data</t>
  </si>
  <si>
    <t>Monthly Savings</t>
  </si>
  <si>
    <t>Implied Annual Savings</t>
  </si>
  <si>
    <t>InHand Categories</t>
  </si>
  <si>
    <t>Your Actual InHand</t>
  </si>
  <si>
    <t xml:space="preserve"> </t>
  </si>
  <si>
    <t>Time Period</t>
  </si>
  <si>
    <t>Totals</t>
  </si>
  <si>
    <t>Ratios</t>
  </si>
  <si>
    <t>Averages - Actuals</t>
  </si>
  <si>
    <t>Budget Targets</t>
  </si>
  <si>
    <t>Month</t>
  </si>
  <si>
    <t>Start Date</t>
  </si>
  <si>
    <t>End Date</t>
  </si>
  <si>
    <t>Expenses</t>
  </si>
  <si>
    <t>Income</t>
  </si>
  <si>
    <t>Savings</t>
  </si>
  <si>
    <t>Expense Ratio</t>
  </si>
  <si>
    <t>Savings Ratio</t>
  </si>
  <si>
    <t>Expense Categories (up to 40)</t>
  </si>
  <si>
    <t>Notes (Optional):</t>
  </si>
  <si>
    <t>Electricity Bill, Water Bill, Broadband, Mobile Recharge, DTH</t>
  </si>
  <si>
    <t>Childcare &amp; Baby Needs</t>
  </si>
  <si>
    <t>Diapers, Baby Food, Toys, School Stationery</t>
  </si>
  <si>
    <t>Metro, Bus, Auto-rickshaw, Train, Ola/Uber, Fuel for commute</t>
  </si>
  <si>
    <t>School Fees, College Tuition, Coaching Classes, Online Courses</t>
  </si>
  <si>
    <t>Mobile Phones, Laptops, Smartwatches, Earphones</t>
  </si>
  <si>
    <t>Movies, Concerts, Video Games, Online Streaming, Events</t>
  </si>
  <si>
    <t>Familly</t>
  </si>
  <si>
    <t>Parents' Allowance, Kids' School Fees, Household Help Salary</t>
  </si>
  <si>
    <t>Fitness</t>
  </si>
  <si>
    <t>Gym Membership, Yoga Classes, Sports Equipment, Protein Powder</t>
  </si>
  <si>
    <t>Office tea/coffee, Small breaks, Bakery items, Juice, chips, biscuits</t>
  </si>
  <si>
    <t>Petrol, Diesel, CNG, Electric Charging Stations</t>
  </si>
  <si>
    <t>Birthday Gifts, Anniversary Gifts, Festivals, Wedding Gifts</t>
  </si>
  <si>
    <t>Vegetables, Fruits, Dairy, Meat, Frozen Food, Spices, Staples</t>
  </si>
  <si>
    <t>Furniture, Cleaning Supplies, Kitchen Appliances, Home Decor</t>
  </si>
  <si>
    <t>Life Insurance, Health Insurance, Vehicle Insurance, Term Plans</t>
  </si>
  <si>
    <t>Stocks, Mutual Funds, Bonds, Real Estate, Gold, Cryptocurrencies</t>
  </si>
  <si>
    <t>Borrowing from Friends, Lending to Family, Interest on Loan</t>
  </si>
  <si>
    <t>Medicines, Doctor Consultation, Hospitalization, Surgery</t>
  </si>
  <si>
    <t>Haircuts, Skincare, Beauty Products, Grooming Kits, Salon</t>
  </si>
  <si>
    <t>Rent</t>
  </si>
  <si>
    <t>House Rent, Office Rent, Coworking Space Rental</t>
  </si>
  <si>
    <t>Car Servicing, AC Repair, Plumbing, Electrical Work</t>
  </si>
  <si>
    <t>Dining Out, Fast Food, Café, Home Delivery, Street Food</t>
  </si>
  <si>
    <t>Self Transfers</t>
  </si>
  <si>
    <t>Transferring money between personal accounts, FD Deposits</t>
  </si>
  <si>
    <t>Clothes, Footwear, Accessories, Watches, Jewelry, Handbags</t>
  </si>
  <si>
    <t>Netflix, Spotify, Gym Membership, Magazines</t>
  </si>
  <si>
    <t>Flight Tickets, Hotel Stays, Sightseeing, Rental Cars, Visa Fees</t>
  </si>
  <si>
    <t>Traffic Challan, Late Fee, Overweight Ticket, etc</t>
  </si>
  <si>
    <t>This Spending money ( To Track from Salary how taken for Expenses)</t>
  </si>
  <si>
    <t>This money which for Expenses (Not Included in Income)</t>
  </si>
  <si>
    <t>DO NOT MODIFY THE ROWS BELOW</t>
  </si>
  <si>
    <t>Full list of expense categories</t>
  </si>
  <si>
    <t>Total # of categories:</t>
  </si>
  <si>
    <t>Full list of income categories</t>
  </si>
  <si>
    <t>Full list of InHand categories</t>
  </si>
  <si>
    <t>Overall Time Period</t>
  </si>
  <si>
    <t>Transaction Dates</t>
  </si>
  <si>
    <t>Overall</t>
  </si>
  <si>
    <t>Year</t>
  </si>
  <si>
    <t>Oldest</t>
  </si>
  <si>
    <t>Newest</t>
  </si>
  <si>
    <t>Time Periods</t>
  </si>
  <si>
    <t>Period</t>
  </si>
  <si>
    <t>Text</t>
  </si>
  <si>
    <t>Last month</t>
  </si>
  <si>
    <t>Last 3 months</t>
  </si>
  <si>
    <t>Last 6 months</t>
  </si>
  <si>
    <t>Last 12 months</t>
  </si>
  <si>
    <t>Year to date</t>
  </si>
  <si>
    <t>All</t>
  </si>
  <si>
    <t>Custom</t>
  </si>
  <si>
    <t>Selected time period</t>
  </si>
  <si>
    <t># of months</t>
  </si>
  <si>
    <t>Selected Time Period label:</t>
  </si>
  <si>
    <t>Total months</t>
  </si>
  <si>
    <t>All Time Period Label:</t>
  </si>
  <si>
    <t>Historical Comparison Time Periods</t>
  </si>
  <si>
    <t>Time Period 1</t>
  </si>
  <si>
    <t>Time Period 2</t>
  </si>
  <si>
    <t>Label</t>
  </si>
  <si>
    <t>Latest month vs. previous month</t>
  </si>
  <si>
    <t>Latest month vs. last year</t>
  </si>
  <si>
    <t>Past 3 months vs. last year</t>
  </si>
  <si>
    <t>Past 6 months vs. last year</t>
  </si>
  <si>
    <t>Past 12 months vs. last year</t>
  </si>
  <si>
    <t>Year to date vs. last year</t>
  </si>
  <si>
    <t>Label:</t>
  </si>
  <si>
    <t># of months label:</t>
  </si>
  <si>
    <t>PortFolio Tracking Sheet details</t>
  </si>
  <si>
    <t>#REF!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</si>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</sst>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₹]#,##0.00"/>
    <numFmt numFmtId="165" formatCode="mm\-dd\-yyyy"/>
    <numFmt numFmtId="166" formatCode="m\-d\-yyyy"/>
    <numFmt numFmtId="167" formatCode="0.0"/>
    <numFmt numFmtId="168" formatCode="\$#,##0_);\(\$#,##0\);\-\-_)"/>
    <numFmt numFmtId="169" formatCode="\+\$#,##0_);\(\$#,##0\);\-\-_)"/>
    <numFmt numFmtId="170" formatCode="#,##0.0%_);\(#,##0.0%\);\-\-_)"/>
    <numFmt numFmtId="171" formatCode="mmm\-yyyy"/>
    <numFmt numFmtId="172" formatCode="[$₹]#,##0"/>
  </numFmts>
  <fonts count="3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i/>
      <sz val="9"/>
      <color rgb="FF666666"/>
      <name val="Arial"/>
    </font>
    <font>
      <sz val="10"/>
      <color rgb="FF000000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b/>
      <sz val="11"/>
      <color rgb="FF0000FF"/>
      <name val="Arial"/>
    </font>
    <font>
      <sz val="11"/>
      <color theme="1"/>
      <name val="Arial"/>
    </font>
    <font>
      <i/>
      <sz val="11"/>
      <color theme="1"/>
      <name val="Arial"/>
    </font>
    <font>
      <b/>
      <sz val="14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i/>
      <sz val="11"/>
      <color theme="1"/>
      <name val="Arial"/>
    </font>
    <font>
      <b/>
      <i/>
      <sz val="11"/>
      <color rgb="FF000000"/>
      <name val="Arial"/>
    </font>
    <font>
      <i/>
      <sz val="10"/>
      <color rgb="FF666666"/>
      <name val="Arial"/>
    </font>
    <font>
      <sz val="10"/>
      <color rgb="FF0000FF"/>
      <name val="Arial"/>
    </font>
    <font>
      <i/>
      <sz val="10"/>
      <color theme="1"/>
      <name val="Arial"/>
    </font>
    <font>
      <sz val="25"/>
      <color theme="1"/>
      <name val="Pacifico"/>
    </font>
    <font>
      <i/>
      <sz val="10"/>
      <color rgb="FF000000"/>
      <name val="Arial"/>
    </font>
    <font>
      <sz val="11"/>
      <color rgb="FFFFFFFF"/>
      <name val="Arial"/>
    </font>
    <font>
      <sz val="11"/>
      <color rgb="FF1DCC2A"/>
      <name val="Arial"/>
    </font>
    <font>
      <sz val="10"/>
      <color rgb="FFFFFFFF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sz val="10"/>
      <color rgb="FF008000"/>
      <name val="Arial"/>
    </font>
    <font>
      <u/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9C9C9"/>
        <bgColor rgb="FFC9C9C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BDBDBD"/>
        <bgColor rgb="FFBDBDBD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BF"/>
        <bgColor rgb="FFFFFFBF"/>
      </patternFill>
    </fill>
    <fill>
      <patternFill patternType="solid">
        <fgColor rgb="FFE6C9BE"/>
        <bgColor rgb="FFE6C9BE"/>
      </patternFill>
    </fill>
    <fill>
      <patternFill patternType="solid">
        <fgColor rgb="FFDAFFC7"/>
        <bgColor rgb="FFDAFFC7"/>
      </patternFill>
    </fill>
    <fill>
      <patternFill patternType="solid">
        <fgColor rgb="FFD8FFF6"/>
        <bgColor rgb="FFD8FFF6"/>
      </patternFill>
    </fill>
    <fill>
      <patternFill patternType="solid">
        <fgColor rgb="FFFFFF99"/>
        <bgColor rgb="FFFFFF99"/>
      </patternFill>
    </fill>
    <fill>
      <patternFill patternType="solid">
        <fgColor rgb="FFDDF5FD"/>
        <bgColor rgb="FFDDF5FD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9C9C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04040"/>
      </top>
      <bottom/>
      <diagonal/>
    </border>
    <border>
      <left/>
      <right/>
      <top/>
      <bottom/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C9C9C9"/>
      </right>
      <top/>
      <bottom style="thin">
        <color rgb="FFC9C9C9"/>
      </bottom>
      <diagonal/>
    </border>
    <border>
      <left/>
      <right style="thin">
        <color rgb="FF000000"/>
      </right>
      <top/>
      <bottom style="thin">
        <color rgb="FFC9C9C9"/>
      </bottom>
      <diagonal/>
    </border>
    <border>
      <left style="thin">
        <color rgb="FF000000"/>
      </left>
      <right style="thin">
        <color rgb="FF000000"/>
      </right>
      <top/>
      <bottom style="thin">
        <color rgb="FFC9C9C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9C9C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9C9C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C9C9C9"/>
      </right>
      <top/>
      <bottom style="thin">
        <color rgb="FFC9C9C9"/>
      </bottom>
      <diagonal/>
    </border>
    <border>
      <left style="thin">
        <color rgb="FF000000"/>
      </left>
      <right style="thin">
        <color rgb="FFC9C9C9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2" borderId="0" xfId="0" applyFont="1" applyFill="1"/>
    <xf numFmtId="0" fontId="2" fillId="4" borderId="5" xfId="0" applyFont="1" applyFill="1" applyBorder="1" applyAlignment="1">
      <alignment horizontal="left"/>
    </xf>
    <xf numFmtId="164" fontId="2" fillId="4" borderId="6" xfId="0" applyNumberFormat="1" applyFont="1" applyFill="1" applyBorder="1" applyAlignment="1">
      <alignment horizontal="center"/>
    </xf>
    <xf numFmtId="10" fontId="2" fillId="4" borderId="6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left"/>
    </xf>
    <xf numFmtId="164" fontId="2" fillId="5" borderId="6" xfId="0" applyNumberFormat="1" applyFont="1" applyFill="1" applyBorder="1" applyAlignment="1">
      <alignment horizontal="center"/>
    </xf>
    <xf numFmtId="10" fontId="2" fillId="5" borderId="6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left"/>
    </xf>
    <xf numFmtId="164" fontId="2" fillId="6" borderId="6" xfId="0" applyNumberFormat="1" applyFont="1" applyFill="1" applyBorder="1" applyAlignment="1">
      <alignment horizontal="center"/>
    </xf>
    <xf numFmtId="10" fontId="2" fillId="6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64" fontId="1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7" borderId="7" xfId="0" applyFont="1" applyFill="1" applyBorder="1"/>
    <xf numFmtId="0" fontId="5" fillId="7" borderId="7" xfId="0" applyFont="1" applyFill="1" applyBorder="1"/>
    <xf numFmtId="164" fontId="5" fillId="7" borderId="7" xfId="0" applyNumberFormat="1" applyFont="1" applyFill="1" applyBorder="1"/>
    <xf numFmtId="0" fontId="7" fillId="7" borderId="7" xfId="0" applyFont="1" applyFill="1" applyBorder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8" fillId="6" borderId="8" xfId="0" applyFont="1" applyFill="1" applyBorder="1" applyAlignment="1">
      <alignment horizontal="center"/>
    </xf>
    <xf numFmtId="164" fontId="8" fillId="6" borderId="8" xfId="0" applyNumberFormat="1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165" fontId="5" fillId="8" borderId="9" xfId="0" applyNumberFormat="1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164" fontId="5" fillId="8" borderId="9" xfId="0" applyNumberFormat="1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4" fillId="8" borderId="0" xfId="0" applyFont="1" applyFill="1"/>
    <xf numFmtId="0" fontId="5" fillId="8" borderId="9" xfId="0" applyFont="1" applyFill="1" applyBorder="1" applyAlignment="1">
      <alignment horizontal="center"/>
    </xf>
    <xf numFmtId="165" fontId="5" fillId="9" borderId="9" xfId="0" applyNumberFormat="1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164" fontId="5" fillId="9" borderId="9" xfId="0" applyNumberFormat="1" applyFont="1" applyFill="1" applyBorder="1" applyAlignment="1">
      <alignment horizontal="center"/>
    </xf>
    <xf numFmtId="0" fontId="4" fillId="9" borderId="0" xfId="0" applyFont="1" applyFill="1"/>
    <xf numFmtId="0" fontId="5" fillId="9" borderId="9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165" fontId="5" fillId="9" borderId="10" xfId="0" applyNumberFormat="1" applyFont="1" applyFill="1" applyBorder="1" applyAlignment="1">
      <alignment horizontal="center"/>
    </xf>
    <xf numFmtId="164" fontId="5" fillId="9" borderId="10" xfId="0" applyNumberFormat="1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165" fontId="5" fillId="8" borderId="10" xfId="0" applyNumberFormat="1" applyFont="1" applyFill="1" applyBorder="1" applyAlignment="1">
      <alignment horizontal="center"/>
    </xf>
    <xf numFmtId="164" fontId="5" fillId="8" borderId="10" xfId="0" applyNumberFormat="1" applyFont="1" applyFill="1" applyBorder="1" applyAlignment="1">
      <alignment horizontal="center"/>
    </xf>
    <xf numFmtId="0" fontId="1" fillId="8" borderId="0" xfId="0" applyFont="1" applyFill="1"/>
    <xf numFmtId="0" fontId="5" fillId="9" borderId="0" xfId="0" applyFont="1" applyFill="1" applyAlignment="1">
      <alignment horizontal="center"/>
    </xf>
    <xf numFmtId="165" fontId="5" fillId="10" borderId="10" xfId="0" applyNumberFormat="1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164" fontId="5" fillId="10" borderId="10" xfId="0" applyNumberFormat="1" applyFont="1" applyFill="1" applyBorder="1" applyAlignment="1">
      <alignment horizontal="center"/>
    </xf>
    <xf numFmtId="0" fontId="4" fillId="10" borderId="0" xfId="0" applyFont="1" applyFill="1"/>
    <xf numFmtId="164" fontId="5" fillId="9" borderId="0" xfId="0" applyNumberFormat="1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11" fillId="9" borderId="10" xfId="0" applyNumberFormat="1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165" fontId="11" fillId="8" borderId="10" xfId="0" applyNumberFormat="1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164" fontId="11" fillId="8" borderId="10" xfId="0" applyNumberFormat="1" applyFont="1" applyFill="1" applyBorder="1" applyAlignment="1">
      <alignment horizontal="center"/>
    </xf>
    <xf numFmtId="165" fontId="11" fillId="9" borderId="10" xfId="0" applyNumberFormat="1" applyFont="1" applyFill="1" applyBorder="1" applyAlignment="1">
      <alignment horizontal="center"/>
    </xf>
    <xf numFmtId="166" fontId="5" fillId="8" borderId="0" xfId="0" applyNumberFormat="1" applyFon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0" fontId="1" fillId="0" borderId="0" xfId="0" applyFont="1"/>
    <xf numFmtId="0" fontId="12" fillId="0" borderId="0" xfId="0" applyFont="1"/>
    <xf numFmtId="0" fontId="13" fillId="0" borderId="0" xfId="0" applyFont="1"/>
    <xf numFmtId="165" fontId="14" fillId="11" borderId="6" xfId="0" applyNumberFormat="1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167" fontId="16" fillId="0" borderId="0" xfId="0" applyNumberFormat="1" applyFont="1" applyAlignment="1">
      <alignment horizontal="center"/>
    </xf>
    <xf numFmtId="0" fontId="17" fillId="7" borderId="8" xfId="0" applyFont="1" applyFill="1" applyBorder="1"/>
    <xf numFmtId="0" fontId="4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12" borderId="6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9" fillId="0" borderId="5" xfId="0" applyFont="1" applyBorder="1" applyAlignment="1">
      <alignment horizontal="left"/>
    </xf>
    <xf numFmtId="164" fontId="13" fillId="0" borderId="13" xfId="0" applyNumberFormat="1" applyFont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10" fontId="16" fillId="0" borderId="14" xfId="0" applyNumberFormat="1" applyFont="1" applyBorder="1" applyAlignment="1">
      <alignment horizontal="center"/>
    </xf>
    <xf numFmtId="0" fontId="19" fillId="0" borderId="15" xfId="0" applyFont="1" applyBorder="1" applyAlignment="1">
      <alignment horizontal="left"/>
    </xf>
    <xf numFmtId="168" fontId="13" fillId="0" borderId="13" xfId="0" applyNumberFormat="1" applyFont="1" applyBorder="1" applyAlignment="1">
      <alignment horizontal="center"/>
    </xf>
    <xf numFmtId="168" fontId="16" fillId="0" borderId="14" xfId="0" applyNumberFormat="1" applyFont="1" applyBorder="1" applyAlignment="1">
      <alignment horizontal="center"/>
    </xf>
    <xf numFmtId="169" fontId="18" fillId="0" borderId="13" xfId="0" applyNumberFormat="1" applyFont="1" applyBorder="1" applyAlignment="1">
      <alignment horizontal="center"/>
    </xf>
    <xf numFmtId="170" fontId="16" fillId="0" borderId="14" xfId="0" applyNumberFormat="1" applyFont="1" applyBorder="1" applyAlignment="1">
      <alignment horizontal="center"/>
    </xf>
    <xf numFmtId="0" fontId="19" fillId="0" borderId="16" xfId="0" applyFont="1" applyBorder="1" applyAlignment="1">
      <alignment horizontal="left"/>
    </xf>
    <xf numFmtId="168" fontId="13" fillId="0" borderId="17" xfId="0" applyNumberFormat="1" applyFont="1" applyBorder="1" applyAlignment="1">
      <alignment horizontal="center"/>
    </xf>
    <xf numFmtId="168" fontId="16" fillId="0" borderId="18" xfId="0" applyNumberFormat="1" applyFont="1" applyBorder="1" applyAlignment="1">
      <alignment horizontal="center"/>
    </xf>
    <xf numFmtId="169" fontId="18" fillId="0" borderId="17" xfId="0" applyNumberFormat="1" applyFont="1" applyBorder="1" applyAlignment="1">
      <alignment horizontal="center"/>
    </xf>
    <xf numFmtId="170" fontId="16" fillId="0" borderId="18" xfId="0" applyNumberFormat="1" applyFont="1" applyBorder="1" applyAlignment="1">
      <alignment horizontal="center"/>
    </xf>
    <xf numFmtId="164" fontId="13" fillId="12" borderId="19" xfId="0" applyNumberFormat="1" applyFont="1" applyFill="1" applyBorder="1" applyAlignment="1">
      <alignment horizontal="center"/>
    </xf>
    <xf numFmtId="164" fontId="20" fillId="12" borderId="20" xfId="0" applyNumberFormat="1" applyFont="1" applyFill="1" applyBorder="1" applyAlignment="1">
      <alignment horizontal="center"/>
    </xf>
    <xf numFmtId="168" fontId="13" fillId="0" borderId="0" xfId="0" applyNumberFormat="1" applyFont="1" applyAlignment="1">
      <alignment horizontal="center"/>
    </xf>
    <xf numFmtId="164" fontId="18" fillId="12" borderId="19" xfId="0" applyNumberFormat="1" applyFont="1" applyFill="1" applyBorder="1" applyAlignment="1">
      <alignment horizontal="center"/>
    </xf>
    <xf numFmtId="10" fontId="20" fillId="12" borderId="2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8" fillId="13" borderId="6" xfId="0" applyFont="1" applyFill="1" applyBorder="1" applyAlignment="1">
      <alignment horizontal="left"/>
    </xf>
    <xf numFmtId="0" fontId="13" fillId="13" borderId="6" xfId="0" applyFont="1" applyFill="1" applyBorder="1" applyAlignment="1">
      <alignment horizontal="left"/>
    </xf>
    <xf numFmtId="164" fontId="13" fillId="13" borderId="19" xfId="0" applyNumberFormat="1" applyFont="1" applyFill="1" applyBorder="1" applyAlignment="1">
      <alignment horizontal="center"/>
    </xf>
    <xf numFmtId="164" fontId="18" fillId="13" borderId="19" xfId="0" applyNumberFormat="1" applyFont="1" applyFill="1" applyBorder="1" applyAlignment="1">
      <alignment horizontal="center"/>
    </xf>
    <xf numFmtId="170" fontId="20" fillId="13" borderId="20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164" fontId="20" fillId="0" borderId="14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21" fillId="0" borderId="14" xfId="0" applyNumberFormat="1" applyFont="1" applyBorder="1" applyAlignment="1">
      <alignment horizontal="center"/>
    </xf>
    <xf numFmtId="0" fontId="13" fillId="0" borderId="21" xfId="0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4" fontId="20" fillId="0" borderId="18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0" fontId="21" fillId="0" borderId="18" xfId="0" applyNumberFormat="1" applyFont="1" applyBorder="1" applyAlignment="1">
      <alignment horizontal="center"/>
    </xf>
    <xf numFmtId="0" fontId="13" fillId="14" borderId="6" xfId="0" applyFont="1" applyFill="1" applyBorder="1" applyAlignment="1">
      <alignment horizontal="left"/>
    </xf>
    <xf numFmtId="164" fontId="13" fillId="14" borderId="19" xfId="0" applyNumberFormat="1" applyFont="1" applyFill="1" applyBorder="1" applyAlignment="1">
      <alignment horizontal="center"/>
    </xf>
    <xf numFmtId="164" fontId="20" fillId="14" borderId="20" xfId="0" applyNumberFormat="1" applyFont="1" applyFill="1" applyBorder="1" applyAlignment="1">
      <alignment horizontal="center"/>
    </xf>
    <xf numFmtId="164" fontId="18" fillId="14" borderId="19" xfId="0" applyNumberFormat="1" applyFont="1" applyFill="1" applyBorder="1" applyAlignment="1">
      <alignment horizontal="center"/>
    </xf>
    <xf numFmtId="10" fontId="21" fillId="14" borderId="20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170" fontId="16" fillId="0" borderId="0" xfId="0" applyNumberFormat="1" applyFont="1" applyAlignment="1">
      <alignment horizontal="center"/>
    </xf>
    <xf numFmtId="0" fontId="10" fillId="0" borderId="0" xfId="0" applyFont="1"/>
    <xf numFmtId="0" fontId="2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12" borderId="6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164" fontId="10" fillId="0" borderId="13" xfId="0" applyNumberFormat="1" applyFont="1" applyBorder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168" fontId="23" fillId="0" borderId="0" xfId="0" applyNumberFormat="1" applyFont="1" applyAlignment="1">
      <alignment horizontal="center"/>
    </xf>
    <xf numFmtId="164" fontId="23" fillId="15" borderId="24" xfId="0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left"/>
    </xf>
    <xf numFmtId="168" fontId="10" fillId="0" borderId="13" xfId="0" applyNumberFormat="1" applyFont="1" applyBorder="1" applyAlignment="1">
      <alignment horizontal="center"/>
    </xf>
    <xf numFmtId="168" fontId="10" fillId="0" borderId="14" xfId="0" applyNumberFormat="1" applyFont="1" applyBorder="1" applyAlignment="1">
      <alignment horizontal="center"/>
    </xf>
    <xf numFmtId="168" fontId="23" fillId="15" borderId="24" xfId="0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168" fontId="10" fillId="0" borderId="17" xfId="0" applyNumberFormat="1" applyFont="1" applyBorder="1" applyAlignment="1">
      <alignment horizontal="center"/>
    </xf>
    <xf numFmtId="168" fontId="10" fillId="0" borderId="18" xfId="0" applyNumberFormat="1" applyFont="1" applyBorder="1" applyAlignment="1">
      <alignment horizontal="center"/>
    </xf>
    <xf numFmtId="168" fontId="23" fillId="15" borderId="25" xfId="0" applyNumberFormat="1" applyFont="1" applyFill="1" applyBorder="1" applyAlignment="1">
      <alignment horizontal="center"/>
    </xf>
    <xf numFmtId="0" fontId="2" fillId="0" borderId="0" xfId="0" applyFont="1"/>
    <xf numFmtId="164" fontId="8" fillId="12" borderId="6" xfId="0" applyNumberFormat="1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8" fillId="13" borderId="6" xfId="0" applyFont="1" applyFill="1" applyBorder="1" applyAlignment="1">
      <alignment horizontal="left"/>
    </xf>
    <xf numFmtId="164" fontId="10" fillId="0" borderId="17" xfId="0" applyNumberFormat="1" applyFont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0" fontId="22" fillId="0" borderId="0" xfId="0" applyFont="1"/>
    <xf numFmtId="0" fontId="2" fillId="13" borderId="6" xfId="0" applyFont="1" applyFill="1" applyBorder="1" applyAlignment="1">
      <alignment horizontal="left"/>
    </xf>
    <xf numFmtId="164" fontId="2" fillId="13" borderId="19" xfId="0" applyNumberFormat="1" applyFont="1" applyFill="1" applyBorder="1" applyAlignment="1">
      <alignment horizontal="center"/>
    </xf>
    <xf numFmtId="164" fontId="2" fillId="13" borderId="20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13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164" fontId="2" fillId="0" borderId="17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2" fillId="14" borderId="6" xfId="0" applyFont="1" applyFill="1" applyBorder="1" applyAlignment="1">
      <alignment horizontal="left"/>
    </xf>
    <xf numFmtId="164" fontId="2" fillId="14" borderId="19" xfId="0" applyNumberFormat="1" applyFont="1" applyFill="1" applyBorder="1" applyAlignment="1">
      <alignment horizontal="center"/>
    </xf>
    <xf numFmtId="164" fontId="2" fillId="14" borderId="20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/>
    <xf numFmtId="170" fontId="24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8" fillId="3" borderId="26" xfId="0" applyFont="1" applyFill="1" applyBorder="1"/>
    <xf numFmtId="171" fontId="19" fillId="0" borderId="0" xfId="0" applyNumberFormat="1" applyFont="1"/>
    <xf numFmtId="165" fontId="19" fillId="0" borderId="9" xfId="0" applyNumberFormat="1" applyFont="1" applyBorder="1"/>
    <xf numFmtId="164" fontId="19" fillId="0" borderId="0" xfId="0" applyNumberFormat="1" applyFont="1" applyAlignment="1">
      <alignment horizontal="right"/>
    </xf>
    <xf numFmtId="170" fontId="19" fillId="0" borderId="0" xfId="0" applyNumberFormat="1" applyFont="1" applyAlignment="1">
      <alignment horizontal="right"/>
    </xf>
    <xf numFmtId="171" fontId="19" fillId="0" borderId="9" xfId="0" applyNumberFormat="1" applyFont="1" applyBorder="1"/>
    <xf numFmtId="164" fontId="19" fillId="0" borderId="9" xfId="0" applyNumberFormat="1" applyFont="1" applyBorder="1" applyAlignment="1">
      <alignment horizontal="right"/>
    </xf>
    <xf numFmtId="170" fontId="19" fillId="0" borderId="9" xfId="0" applyNumberFormat="1" applyFont="1" applyBorder="1" applyAlignment="1">
      <alignment horizontal="right"/>
    </xf>
    <xf numFmtId="0" fontId="1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8" fillId="3" borderId="30" xfId="0" applyFont="1" applyFill="1" applyBorder="1"/>
    <xf numFmtId="0" fontId="23" fillId="11" borderId="31" xfId="0" applyFont="1" applyFill="1" applyBorder="1"/>
    <xf numFmtId="0" fontId="23" fillId="11" borderId="32" xfId="0" applyFont="1" applyFill="1" applyBorder="1"/>
    <xf numFmtId="0" fontId="23" fillId="0" borderId="0" xfId="0" applyFont="1"/>
    <xf numFmtId="0" fontId="8" fillId="0" borderId="0" xfId="0" applyFont="1" applyAlignment="1">
      <alignment horizontal="center"/>
    </xf>
    <xf numFmtId="0" fontId="10" fillId="9" borderId="8" xfId="0" applyFont="1" applyFill="1" applyBorder="1"/>
    <xf numFmtId="0" fontId="26" fillId="9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5" fillId="9" borderId="8" xfId="0" applyFont="1" applyFill="1" applyBorder="1"/>
    <xf numFmtId="0" fontId="8" fillId="10" borderId="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32" xfId="0" applyFont="1" applyFill="1" applyBorder="1" applyAlignment="1">
      <alignment horizontal="center"/>
    </xf>
    <xf numFmtId="0" fontId="5" fillId="9" borderId="30" xfId="0" applyFont="1" applyFill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24" fillId="9" borderId="8" xfId="0" applyFont="1" applyFill="1" applyBorder="1" applyAlignment="1">
      <alignment horizontal="center"/>
    </xf>
    <xf numFmtId="0" fontId="27" fillId="7" borderId="8" xfId="0" applyFont="1" applyFill="1" applyBorder="1"/>
    <xf numFmtId="0" fontId="19" fillId="7" borderId="8" xfId="0" applyFont="1" applyFill="1" applyBorder="1"/>
    <xf numFmtId="0" fontId="18" fillId="3" borderId="8" xfId="0" applyFont="1" applyFill="1" applyBorder="1" applyAlignment="1">
      <alignment horizontal="center"/>
    </xf>
    <xf numFmtId="165" fontId="28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0" fontId="19" fillId="0" borderId="34" xfId="0" applyFont="1" applyBorder="1" applyAlignment="1">
      <alignment horizontal="center"/>
    </xf>
    <xf numFmtId="165" fontId="28" fillId="0" borderId="34" xfId="0" applyNumberFormat="1" applyFont="1" applyBorder="1" applyAlignment="1">
      <alignment horizontal="center"/>
    </xf>
    <xf numFmtId="165" fontId="19" fillId="0" borderId="34" xfId="0" applyNumberFormat="1" applyFont="1" applyBorder="1" applyAlignment="1">
      <alignment horizontal="center"/>
    </xf>
    <xf numFmtId="0" fontId="18" fillId="3" borderId="8" xfId="0" applyFont="1" applyFill="1" applyBorder="1"/>
    <xf numFmtId="0" fontId="19" fillId="0" borderId="34" xfId="0" applyFont="1" applyBorder="1"/>
    <xf numFmtId="0" fontId="19" fillId="0" borderId="34" xfId="0" applyFont="1" applyBorder="1" applyAlignment="1">
      <alignment horizontal="left"/>
    </xf>
    <xf numFmtId="0" fontId="19" fillId="14" borderId="8" xfId="0" applyFont="1" applyFill="1" applyBorder="1"/>
    <xf numFmtId="165" fontId="19" fillId="14" borderId="8" xfId="0" applyNumberFormat="1" applyFont="1" applyFill="1" applyBorder="1" applyAlignment="1">
      <alignment horizontal="center"/>
    </xf>
    <xf numFmtId="4" fontId="1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/>
    <xf numFmtId="0" fontId="6" fillId="7" borderId="8" xfId="0" applyFont="1" applyFill="1" applyBorder="1"/>
    <xf numFmtId="0" fontId="29" fillId="7" borderId="8" xfId="0" applyFont="1" applyFill="1" applyBorder="1"/>
    <xf numFmtId="0" fontId="8" fillId="3" borderId="8" xfId="0" applyFont="1" applyFill="1" applyBorder="1" applyAlignment="1">
      <alignment horizontal="left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65" fontId="5" fillId="0" borderId="35" xfId="0" applyNumberFormat="1" applyFont="1" applyBorder="1" applyAlignment="1">
      <alignment horizontal="center"/>
    </xf>
    <xf numFmtId="166" fontId="5" fillId="0" borderId="36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36" xfId="0" applyNumberFormat="1" applyFont="1" applyBorder="1" applyAlignment="1">
      <alignment horizontal="center"/>
    </xf>
    <xf numFmtId="165" fontId="32" fillId="0" borderId="35" xfId="0" applyNumberFormat="1" applyFont="1" applyBorder="1" applyAlignment="1">
      <alignment horizontal="center"/>
    </xf>
    <xf numFmtId="165" fontId="32" fillId="0" borderId="36" xfId="0" applyNumberFormat="1" applyFont="1" applyBorder="1" applyAlignment="1">
      <alignment horizontal="center"/>
    </xf>
    <xf numFmtId="165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2" fillId="16" borderId="8" xfId="0" applyFont="1" applyFill="1" applyBorder="1" applyAlignment="1">
      <alignment horizontal="left"/>
    </xf>
    <xf numFmtId="165" fontId="32" fillId="16" borderId="8" xfId="0" applyNumberFormat="1" applyFont="1" applyFill="1" applyBorder="1" applyAlignment="1">
      <alignment horizontal="center"/>
    </xf>
    <xf numFmtId="166" fontId="32" fillId="16" borderId="8" xfId="0" applyNumberFormat="1" applyFont="1" applyFill="1" applyBorder="1" applyAlignment="1">
      <alignment horizontal="center"/>
    </xf>
    <xf numFmtId="0" fontId="26" fillId="0" borderId="0" xfId="0" applyFont="1"/>
    <xf numFmtId="0" fontId="10" fillId="10" borderId="0" xfId="0" applyFont="1" applyFill="1"/>
    <xf numFmtId="172" fontId="10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3" xfId="0" applyFont="1" applyFill="1" applyBorder="1" applyAlignment="1">
      <alignment horizontal="center"/>
    </xf>
    <xf numFmtId="0" fontId="3" fillId="0" borderId="4" xfId="0" applyFont="1" applyBorder="1"/>
    <xf numFmtId="0" fontId="13" fillId="3" borderId="1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0" fillId="0" borderId="0" xfId="0"/>
    <xf numFmtId="0" fontId="18" fillId="3" borderId="27" xfId="0" applyFont="1" applyFill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/>
    <xf numFmtId="0" fontId="30" fillId="0" borderId="35" xfId="0" applyFont="1" applyBorder="1" applyAlignment="1">
      <alignment horizontal="center"/>
    </xf>
    <xf numFmtId="0" fontId="3" fillId="0" borderId="36" xfId="0" applyFont="1" applyBorder="1"/>
    <xf numFmtId="0" fontId="31" fillId="0" borderId="0" xfId="0" applyFont="1" applyAlignment="1">
      <alignment horizontal="center"/>
    </xf>
  </cellXfs>
  <cellStyles count="1">
    <cellStyle name="Normal" xfId="0" builtinId="0"/>
  </cellStyles>
  <dxfs count="10">
    <dxf>
      <font>
        <color rgb="FFF3F3F3"/>
      </font>
      <fill>
        <patternFill patternType="solid">
          <fgColor rgb="FFF3F3F3"/>
          <bgColor rgb="FFF3F3F3"/>
        </patternFill>
      </fill>
    </dxf>
    <dxf>
      <font>
        <color rgb="FFFF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3F3F3"/>
      </font>
      <fill>
        <patternFill patternType="solid">
          <fgColor rgb="FFF3F3F3"/>
          <bgColor rgb="FFF3F3F3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000" b="1">
                <a:solidFill>
                  <a:srgbClr val="757575"/>
                </a:solidFill>
                <a:latin typeface="Comic Sans MS"/>
              </a:defRPr>
            </a:pPr>
            <a:r>
              <a:rPr lang="en-IN" sz="3000" b="1">
                <a:solidFill>
                  <a:srgbClr val="757575"/>
                </a:solidFill>
                <a:latin typeface="Comic Sans MS"/>
              </a:rPr>
              <a:t>Wealth Holding Pie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6C23-4CD7-9E6C-F84B344F66C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6C23-4CD7-9E6C-F84B344F66C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6C23-4CD7-9E6C-F84B344F66C5}"/>
              </c:ext>
            </c:extLst>
          </c:dPt>
          <c:cat>
            <c:strRef>
              <c:f>DashBoard!$B$5:$B$7</c:f>
              <c:strCache>
                <c:ptCount val="3"/>
                <c:pt idx="0">
                  <c:v>InHand (Bank) Holding</c:v>
                </c:pt>
                <c:pt idx="1">
                  <c:v>Crypto Holdings</c:v>
                </c:pt>
                <c:pt idx="2">
                  <c:v>Shares &amp; Commodities Holdings</c:v>
                </c:pt>
              </c:strCache>
            </c:strRef>
          </c:cat>
          <c:val>
            <c:numRef>
              <c:f>DashBoard!$C$5:$C$7</c:f>
              <c:numCache>
                <c:formatCode>[$₹]#,##0.00</c:formatCode>
                <c:ptCount val="3"/>
                <c:pt idx="0">
                  <c:v>5</c:v>
                </c:pt>
                <c:pt idx="1">
                  <c:v>34</c:v>
                </c:pt>
                <c:pt idx="2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23-4CD7-9E6C-F84B344F6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47626</xdr:colOff>
      <xdr:row>0</xdr:row>
      <xdr:rowOff>38100</xdr:rowOff>
    </xdr:from>
    <xdr:ext cx="5676900" cy="40290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storical%20Comparis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 Comparis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"/>
  <sheetViews>
    <sheetView showGridLines="0" tabSelected="1" workbookViewId="0">
      <selection activeCell="C13" sqref="C13"/>
    </sheetView>
  </sheetViews>
  <sheetFormatPr defaultColWidth="12.5703125" defaultRowHeight="15" customHeight="1" x14ac:dyDescent="0.2"/>
  <cols>
    <col min="1" max="1" width="2.5703125" customWidth="1"/>
    <col min="2" max="2" width="26.85546875" customWidth="1"/>
    <col min="3" max="3" width="22.5703125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1"/>
      <c r="C3" s="231" t="s">
        <v>0</v>
      </c>
      <c r="D3" s="232"/>
      <c r="E3" s="1"/>
      <c r="F3" s="1"/>
      <c r="G3" s="1"/>
      <c r="H3" s="1"/>
      <c r="I3" s="1"/>
      <c r="J3" s="1"/>
      <c r="K3" s="1"/>
    </row>
    <row r="4" spans="1:11" x14ac:dyDescent="0.2">
      <c r="A4" s="1"/>
      <c r="B4" s="1"/>
      <c r="C4" s="233" t="str">
        <f>"Total ("&amp;'Date Info'!$C$26&amp;")"</f>
        <v>Total (1 month)</v>
      </c>
      <c r="D4" s="234"/>
      <c r="E4" s="1"/>
      <c r="F4" s="1"/>
      <c r="G4" s="1"/>
      <c r="H4" s="1"/>
      <c r="I4" s="1"/>
      <c r="J4" s="1"/>
      <c r="K4" s="1"/>
    </row>
    <row r="5" spans="1:11" x14ac:dyDescent="0.2">
      <c r="A5" s="1"/>
      <c r="B5" s="2" t="s">
        <v>1</v>
      </c>
      <c r="C5" s="3">
        <f>'Total &amp; Budget Targets'!E92</f>
        <v>5</v>
      </c>
      <c r="D5" s="4">
        <f t="shared" ref="D5:D8" si="0">C5/$C$8</f>
        <v>1.0121457489878543E-2</v>
      </c>
      <c r="E5" s="1"/>
      <c r="F5" s="1"/>
      <c r="G5" s="1"/>
      <c r="H5" s="1"/>
      <c r="I5" s="1"/>
      <c r="J5" s="1"/>
      <c r="K5" s="1"/>
    </row>
    <row r="6" spans="1:11" x14ac:dyDescent="0.2">
      <c r="A6" s="1"/>
      <c r="B6" s="5" t="s">
        <v>2</v>
      </c>
      <c r="C6" s="6">
        <v>34</v>
      </c>
      <c r="D6" s="7">
        <f t="shared" si="0"/>
        <v>6.8825910931174086E-2</v>
      </c>
      <c r="E6" s="1"/>
      <c r="F6" s="1"/>
      <c r="G6" s="1"/>
      <c r="H6" s="1"/>
      <c r="I6" s="1"/>
      <c r="J6" s="1"/>
      <c r="K6" s="1"/>
    </row>
    <row r="7" spans="1:11" x14ac:dyDescent="0.2">
      <c r="A7" s="1"/>
      <c r="B7" s="8" t="s">
        <v>3</v>
      </c>
      <c r="C7" s="9">
        <v>455</v>
      </c>
      <c r="D7" s="10">
        <f t="shared" si="0"/>
        <v>0.92105263157894735</v>
      </c>
      <c r="E7" s="1"/>
      <c r="F7" s="1"/>
      <c r="G7" s="1"/>
      <c r="H7" s="1"/>
      <c r="I7" s="1"/>
      <c r="J7" s="1"/>
      <c r="K7" s="1"/>
    </row>
    <row r="8" spans="1:11" x14ac:dyDescent="0.2">
      <c r="A8" s="1"/>
      <c r="B8" s="11" t="s">
        <v>4</v>
      </c>
      <c r="C8" s="12">
        <f>SUM(C5:C7)</f>
        <v>494</v>
      </c>
      <c r="D8" s="13">
        <f t="shared" si="0"/>
        <v>1</v>
      </c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mergeCells count="2">
    <mergeCell ref="C3:D3"/>
    <mergeCell ref="C4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AB997"/>
  <sheetViews>
    <sheetView showGridLines="0" workbookViewId="0">
      <pane ySplit="5" topLeftCell="A6" activePane="bottomLeft" state="frozen"/>
      <selection pane="bottomLeft" activeCell="E7" sqref="E7"/>
    </sheetView>
  </sheetViews>
  <sheetFormatPr defaultColWidth="12.5703125" defaultRowHeight="15" customHeight="1" x14ac:dyDescent="0.2"/>
  <cols>
    <col min="1" max="1" width="2.5703125" customWidth="1"/>
    <col min="2" max="2" width="19.42578125" customWidth="1"/>
    <col min="3" max="3" width="14.7109375" customWidth="1"/>
    <col min="4" max="4" width="28.28515625" customWidth="1"/>
    <col min="5" max="5" width="9.7109375" customWidth="1"/>
    <col min="6" max="6" width="28.28515625" customWidth="1"/>
    <col min="7" max="7" width="45.28515625" customWidth="1"/>
    <col min="8" max="8" width="34.140625" customWidth="1"/>
    <col min="10" max="12" width="12.5703125" hidden="1"/>
    <col min="13" max="13" width="3.28515625" hidden="1" customWidth="1"/>
    <col min="14" max="28" width="12.5703125" hidden="1"/>
  </cols>
  <sheetData>
    <row r="1" spans="1:28" ht="7.5" customHeight="1" x14ac:dyDescent="0.2">
      <c r="E1" s="14"/>
      <c r="G1" s="15"/>
      <c r="I1" s="16"/>
    </row>
    <row r="2" spans="1:28" ht="15.75" customHeight="1" x14ac:dyDescent="0.2">
      <c r="B2" s="17" t="s">
        <v>5</v>
      </c>
      <c r="C2" s="18"/>
      <c r="D2" s="18"/>
      <c r="E2" s="19"/>
      <c r="F2" s="18"/>
      <c r="G2" s="20"/>
      <c r="H2" s="18"/>
    </row>
    <row r="3" spans="1:28" ht="7.5" customHeight="1" x14ac:dyDescent="0.2">
      <c r="E3" s="14"/>
      <c r="G3" s="15"/>
    </row>
    <row r="4" spans="1:28" ht="7.5" customHeight="1" x14ac:dyDescent="0.2">
      <c r="B4" s="21"/>
      <c r="C4" s="21"/>
      <c r="D4" s="21"/>
      <c r="E4" s="22"/>
      <c r="F4" s="21"/>
      <c r="G4" s="15"/>
      <c r="H4" s="21"/>
    </row>
    <row r="5" spans="1:28" ht="15.75" customHeight="1" x14ac:dyDescent="0.2">
      <c r="A5" s="23"/>
      <c r="B5" s="24" t="s">
        <v>6</v>
      </c>
      <c r="C5" s="24" t="s">
        <v>7</v>
      </c>
      <c r="D5" s="24" t="s">
        <v>8</v>
      </c>
      <c r="E5" s="25" t="s">
        <v>9</v>
      </c>
      <c r="F5" s="24" t="s">
        <v>10</v>
      </c>
      <c r="G5" s="26" t="s">
        <v>11</v>
      </c>
      <c r="H5" s="24" t="s">
        <v>12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ht="15.75" customHeight="1" x14ac:dyDescent="0.2">
      <c r="A6" s="21"/>
      <c r="B6" s="27">
        <v>45717</v>
      </c>
      <c r="C6" s="28" t="str">
        <f t="shared" ref="C6:C260" si="0">IF(B6="", "", TEXT(B6, "MMM YY"))</f>
        <v>Mar 25</v>
      </c>
      <c r="D6" s="28" t="s">
        <v>13</v>
      </c>
      <c r="E6" s="29">
        <v>33</v>
      </c>
      <c r="F6" s="30" t="s">
        <v>14</v>
      </c>
      <c r="G6" s="31" t="e">
        <f ca="1">_xludf.IFNA(VLOOKUP(F6,'Category Setup'!B:D,3,0), "")</f>
        <v>#NAME?</v>
      </c>
      <c r="H6" s="32" t="s">
        <v>15</v>
      </c>
      <c r="I6" s="21"/>
      <c r="J6" s="21"/>
      <c r="K6" s="21"/>
      <c r="L6" s="21"/>
      <c r="M6" s="21"/>
    </row>
    <row r="7" spans="1:28" ht="15.75" customHeight="1" x14ac:dyDescent="0.2">
      <c r="A7" s="21"/>
      <c r="B7" s="33">
        <v>45717</v>
      </c>
      <c r="C7" s="34" t="str">
        <f t="shared" si="0"/>
        <v>Mar 25</v>
      </c>
      <c r="D7" s="34" t="s">
        <v>16</v>
      </c>
      <c r="E7" s="35">
        <v>5</v>
      </c>
      <c r="F7" s="34" t="s">
        <v>17</v>
      </c>
      <c r="G7" s="36" t="e">
        <f ca="1">_xludf.IFNA(VLOOKUP(F7,'Category Setup'!B:D,3,0), "")</f>
        <v>#NAME?</v>
      </c>
      <c r="H7" s="37" t="s">
        <v>18</v>
      </c>
      <c r="I7" s="21"/>
      <c r="J7" s="21"/>
      <c r="K7" s="21"/>
      <c r="L7" s="21"/>
      <c r="M7" s="21"/>
    </row>
    <row r="8" spans="1:28" ht="15.75" customHeight="1" x14ac:dyDescent="0.2">
      <c r="A8" s="21"/>
      <c r="B8" s="27"/>
      <c r="C8" s="28"/>
      <c r="D8" s="28"/>
      <c r="E8" s="29"/>
      <c r="F8" s="28"/>
      <c r="G8" s="31"/>
      <c r="H8" s="32"/>
      <c r="I8" s="21"/>
      <c r="J8" s="21"/>
      <c r="K8" s="21"/>
      <c r="L8" s="21"/>
      <c r="M8" s="21"/>
    </row>
    <row r="9" spans="1:28" ht="15.75" customHeight="1" x14ac:dyDescent="0.2">
      <c r="A9" s="21"/>
      <c r="B9" s="33"/>
      <c r="C9" s="34"/>
      <c r="D9" s="34"/>
      <c r="E9" s="35"/>
      <c r="F9" s="34"/>
      <c r="G9" s="36"/>
      <c r="H9" s="37"/>
      <c r="I9" s="21"/>
      <c r="J9" s="21"/>
      <c r="K9" s="21"/>
      <c r="L9" s="21"/>
      <c r="M9" s="21"/>
    </row>
    <row r="10" spans="1:28" ht="15.75" customHeight="1" x14ac:dyDescent="0.2">
      <c r="A10" s="21"/>
      <c r="B10" s="27"/>
      <c r="C10" s="28"/>
      <c r="D10" s="38"/>
      <c r="E10" s="29"/>
      <c r="F10" s="28"/>
      <c r="G10" s="31"/>
      <c r="H10" s="39"/>
      <c r="I10" s="21"/>
      <c r="J10" s="21"/>
      <c r="K10" s="21"/>
      <c r="L10" s="21"/>
      <c r="M10" s="21"/>
    </row>
    <row r="11" spans="1:28" ht="15.75" customHeight="1" x14ac:dyDescent="0.2">
      <c r="A11" s="21"/>
      <c r="B11" s="33"/>
      <c r="C11" s="34"/>
      <c r="D11" s="34"/>
      <c r="E11" s="35"/>
      <c r="F11" s="34"/>
      <c r="G11" s="36"/>
      <c r="H11" s="37"/>
      <c r="I11" s="21"/>
      <c r="J11" s="21"/>
      <c r="K11" s="21"/>
      <c r="L11" s="21"/>
      <c r="M11" s="21"/>
    </row>
    <row r="12" spans="1:28" ht="15.75" customHeight="1" x14ac:dyDescent="0.2">
      <c r="A12" s="21"/>
      <c r="B12" s="27"/>
      <c r="C12" s="28"/>
      <c r="D12" s="28"/>
      <c r="E12" s="29"/>
      <c r="F12" s="28"/>
      <c r="G12" s="31"/>
      <c r="H12" s="32"/>
      <c r="I12" s="21"/>
      <c r="J12" s="21"/>
      <c r="K12" s="21"/>
      <c r="L12" s="21"/>
      <c r="M12" s="21"/>
    </row>
    <row r="13" spans="1:28" ht="15.75" customHeight="1" x14ac:dyDescent="0.2">
      <c r="A13" s="21"/>
      <c r="B13" s="33"/>
      <c r="C13" s="34"/>
      <c r="D13" s="34"/>
      <c r="E13" s="35"/>
      <c r="F13" s="34"/>
      <c r="G13" s="36"/>
      <c r="H13" s="37"/>
      <c r="I13" s="21"/>
      <c r="J13" s="21"/>
      <c r="K13" s="21"/>
      <c r="L13" s="21"/>
      <c r="M13" s="21"/>
    </row>
    <row r="14" spans="1:28" ht="15.75" customHeight="1" x14ac:dyDescent="0.2">
      <c r="A14" s="21"/>
      <c r="B14" s="27"/>
      <c r="C14" s="28"/>
      <c r="D14" s="28"/>
      <c r="E14" s="29"/>
      <c r="F14" s="28"/>
      <c r="G14" s="31"/>
      <c r="H14" s="32"/>
      <c r="I14" s="21"/>
      <c r="J14" s="21"/>
      <c r="K14" s="21"/>
      <c r="L14" s="21"/>
      <c r="M14" s="21"/>
    </row>
    <row r="15" spans="1:28" ht="15.75" customHeight="1" x14ac:dyDescent="0.2">
      <c r="A15" s="21"/>
      <c r="B15" s="33"/>
      <c r="C15" s="34"/>
      <c r="D15" s="34"/>
      <c r="E15" s="35"/>
      <c r="F15" s="40"/>
      <c r="G15" s="36"/>
      <c r="H15" s="37"/>
      <c r="I15" s="21"/>
      <c r="J15" s="21"/>
      <c r="K15" s="21"/>
      <c r="L15" s="21"/>
      <c r="M15" s="21"/>
    </row>
    <row r="16" spans="1:28" ht="15.75" customHeight="1" x14ac:dyDescent="0.2">
      <c r="A16" s="21"/>
      <c r="B16" s="27"/>
      <c r="C16" s="28"/>
      <c r="D16" s="28"/>
      <c r="E16" s="29"/>
      <c r="F16" s="30"/>
      <c r="G16" s="31"/>
      <c r="H16" s="32"/>
      <c r="I16" s="21"/>
      <c r="J16" s="21"/>
      <c r="K16" s="21"/>
      <c r="L16" s="21"/>
      <c r="M16" s="21"/>
    </row>
    <row r="17" spans="1:13" ht="15.75" customHeight="1" x14ac:dyDescent="0.2">
      <c r="A17" s="21"/>
      <c r="B17" s="41"/>
      <c r="C17" s="34"/>
      <c r="D17" s="40"/>
      <c r="E17" s="42"/>
      <c r="F17" s="40"/>
      <c r="G17" s="36"/>
      <c r="H17" s="43"/>
      <c r="I17" s="21"/>
      <c r="J17" s="21"/>
      <c r="K17" s="21"/>
      <c r="L17" s="21"/>
      <c r="M17" s="21"/>
    </row>
    <row r="18" spans="1:13" ht="15.75" customHeight="1" x14ac:dyDescent="0.2">
      <c r="A18" s="21"/>
      <c r="B18" s="44"/>
      <c r="C18" s="28"/>
      <c r="D18" s="30"/>
      <c r="E18" s="45"/>
      <c r="F18" s="30"/>
      <c r="G18" s="31"/>
      <c r="H18" s="30"/>
      <c r="I18" s="21"/>
      <c r="J18" s="21"/>
      <c r="K18" s="21"/>
      <c r="L18" s="21"/>
      <c r="M18" s="21"/>
    </row>
    <row r="19" spans="1:13" ht="15.75" customHeight="1" x14ac:dyDescent="0.2">
      <c r="A19" s="21"/>
      <c r="B19" s="41"/>
      <c r="C19" s="34"/>
      <c r="D19" s="40"/>
      <c r="E19" s="42"/>
      <c r="F19" s="40"/>
      <c r="G19" s="36"/>
      <c r="H19" s="43"/>
      <c r="I19" s="21"/>
      <c r="J19" s="21"/>
      <c r="K19" s="21"/>
      <c r="L19" s="21"/>
      <c r="M19" s="21"/>
    </row>
    <row r="20" spans="1:13" ht="15.75" customHeight="1" x14ac:dyDescent="0.2">
      <c r="A20" s="21"/>
      <c r="B20" s="44"/>
      <c r="C20" s="28"/>
      <c r="D20" s="30"/>
      <c r="E20" s="45"/>
      <c r="F20" s="30"/>
      <c r="G20" s="31"/>
      <c r="H20" s="39"/>
      <c r="I20" s="21"/>
      <c r="J20" s="21"/>
      <c r="K20" s="21"/>
      <c r="L20" s="21"/>
      <c r="M20" s="21"/>
    </row>
    <row r="21" spans="1:13" ht="15.75" customHeight="1" x14ac:dyDescent="0.2">
      <c r="A21" s="21"/>
      <c r="B21" s="41"/>
      <c r="C21" s="34"/>
      <c r="D21" s="40"/>
      <c r="E21" s="42"/>
      <c r="F21" s="40"/>
      <c r="G21" s="36"/>
      <c r="H21" s="43"/>
      <c r="I21" s="21"/>
      <c r="J21" s="21"/>
      <c r="K21" s="21"/>
      <c r="L21" s="21"/>
      <c r="M21" s="21"/>
    </row>
    <row r="22" spans="1:13" ht="15.75" customHeight="1" x14ac:dyDescent="0.2">
      <c r="A22" s="21"/>
      <c r="B22" s="44"/>
      <c r="C22" s="28"/>
      <c r="D22" s="46"/>
      <c r="E22" s="45"/>
      <c r="F22" s="30"/>
      <c r="G22" s="31"/>
      <c r="H22" s="46"/>
      <c r="I22" s="21"/>
      <c r="J22" s="21"/>
      <c r="K22" s="21"/>
      <c r="L22" s="21"/>
      <c r="M22" s="21"/>
    </row>
    <row r="23" spans="1:13" ht="15.75" customHeight="1" x14ac:dyDescent="0.2">
      <c r="A23" s="21"/>
      <c r="B23" s="41"/>
      <c r="C23" s="34"/>
      <c r="D23" s="40"/>
      <c r="E23" s="42"/>
      <c r="F23" s="40"/>
      <c r="G23" s="36"/>
      <c r="H23" s="43"/>
      <c r="I23" s="21"/>
      <c r="J23" s="21"/>
      <c r="K23" s="21"/>
      <c r="L23" s="21"/>
      <c r="M23" s="21"/>
    </row>
    <row r="24" spans="1:13" ht="15.75" customHeight="1" x14ac:dyDescent="0.2">
      <c r="A24" s="21"/>
      <c r="B24" s="44"/>
      <c r="C24" s="28"/>
      <c r="D24" s="30"/>
      <c r="E24" s="45"/>
      <c r="F24" s="30"/>
      <c r="G24" s="31"/>
      <c r="H24" s="39"/>
      <c r="I24" s="21"/>
      <c r="J24" s="21"/>
      <c r="K24" s="21"/>
      <c r="L24" s="21"/>
      <c r="M24" s="21"/>
    </row>
    <row r="25" spans="1:13" ht="15.75" customHeight="1" x14ac:dyDescent="0.2">
      <c r="A25" s="21"/>
      <c r="B25" s="41"/>
      <c r="C25" s="34"/>
      <c r="D25" s="40"/>
      <c r="E25" s="42"/>
      <c r="F25" s="40"/>
      <c r="G25" s="36"/>
      <c r="H25" s="43"/>
      <c r="I25" s="21"/>
      <c r="J25" s="21"/>
      <c r="K25" s="21"/>
      <c r="L25" s="21"/>
      <c r="M25" s="21"/>
    </row>
    <row r="26" spans="1:13" ht="15.75" customHeight="1" x14ac:dyDescent="0.2">
      <c r="A26" s="21"/>
      <c r="B26" s="44"/>
      <c r="C26" s="28"/>
      <c r="D26" s="30"/>
      <c r="E26" s="45"/>
      <c r="F26" s="30"/>
      <c r="G26" s="31"/>
      <c r="H26" s="39"/>
      <c r="I26" s="21"/>
      <c r="J26" s="21"/>
      <c r="K26" s="21"/>
      <c r="L26" s="21"/>
      <c r="M26" s="21"/>
    </row>
    <row r="27" spans="1:13" ht="15.75" customHeight="1" x14ac:dyDescent="0.2">
      <c r="A27" s="21"/>
      <c r="B27" s="41"/>
      <c r="C27" s="34"/>
      <c r="D27" s="40"/>
      <c r="E27" s="42"/>
      <c r="F27" s="34"/>
      <c r="G27" s="36"/>
      <c r="H27" s="43"/>
      <c r="I27" s="21"/>
      <c r="J27" s="21"/>
      <c r="K27" s="21"/>
      <c r="L27" s="21"/>
      <c r="M27" s="21"/>
    </row>
    <row r="28" spans="1:13" ht="15.75" customHeight="1" x14ac:dyDescent="0.2">
      <c r="A28" s="21"/>
      <c r="B28" s="44"/>
      <c r="C28" s="28"/>
      <c r="D28" s="30"/>
      <c r="E28" s="45"/>
      <c r="F28" s="30"/>
      <c r="G28" s="31"/>
      <c r="H28" s="39"/>
      <c r="I28" s="21"/>
      <c r="J28" s="21"/>
      <c r="K28" s="21"/>
      <c r="L28" s="21"/>
      <c r="M28" s="21"/>
    </row>
    <row r="29" spans="1:13" ht="15.75" customHeight="1" x14ac:dyDescent="0.2">
      <c r="A29" s="21"/>
      <c r="B29" s="41"/>
      <c r="C29" s="34"/>
      <c r="D29" s="40"/>
      <c r="E29" s="42"/>
      <c r="F29" s="40"/>
      <c r="G29" s="36"/>
      <c r="H29" s="40"/>
      <c r="I29" s="21"/>
      <c r="J29" s="21"/>
      <c r="K29" s="21"/>
      <c r="L29" s="21"/>
      <c r="M29" s="21"/>
    </row>
    <row r="30" spans="1:13" ht="15.75" customHeight="1" x14ac:dyDescent="0.2">
      <c r="A30" s="21"/>
      <c r="B30" s="44"/>
      <c r="C30" s="28"/>
      <c r="D30" s="30"/>
      <c r="E30" s="45"/>
      <c r="F30" s="28"/>
      <c r="G30" s="31"/>
      <c r="H30" s="39"/>
      <c r="I30" s="21"/>
      <c r="J30" s="21"/>
      <c r="K30" s="21"/>
      <c r="L30" s="21"/>
      <c r="M30" s="21"/>
    </row>
    <row r="31" spans="1:13" ht="15.75" customHeight="1" x14ac:dyDescent="0.2">
      <c r="A31" s="21"/>
      <c r="B31" s="41"/>
      <c r="C31" s="34"/>
      <c r="D31" s="40"/>
      <c r="E31" s="42"/>
      <c r="F31" s="34"/>
      <c r="G31" s="36"/>
      <c r="H31" s="43"/>
      <c r="I31" s="21"/>
      <c r="J31" s="21"/>
      <c r="K31" s="21"/>
      <c r="L31" s="21"/>
      <c r="M31" s="21"/>
    </row>
    <row r="32" spans="1:13" ht="15.75" customHeight="1" x14ac:dyDescent="0.2">
      <c r="A32" s="21"/>
      <c r="B32" s="44"/>
      <c r="C32" s="28"/>
      <c r="D32" s="30"/>
      <c r="E32" s="45"/>
      <c r="F32" s="28"/>
      <c r="G32" s="31"/>
      <c r="H32" s="39"/>
      <c r="I32" s="21"/>
      <c r="J32" s="21"/>
      <c r="K32" s="21"/>
      <c r="L32" s="21"/>
      <c r="M32" s="21"/>
    </row>
    <row r="33" spans="1:13" ht="15.75" customHeight="1" x14ac:dyDescent="0.2">
      <c r="A33" s="21"/>
      <c r="B33" s="41"/>
      <c r="C33" s="34"/>
      <c r="D33" s="40"/>
      <c r="E33" s="42"/>
      <c r="F33" s="40"/>
      <c r="G33" s="36"/>
      <c r="H33" s="43"/>
      <c r="I33" s="21"/>
      <c r="J33" s="21"/>
      <c r="K33" s="21"/>
      <c r="L33" s="21"/>
      <c r="M33" s="21"/>
    </row>
    <row r="34" spans="1:13" ht="15.75" customHeight="1" x14ac:dyDescent="0.2">
      <c r="A34" s="21"/>
      <c r="B34" s="44"/>
      <c r="C34" s="28"/>
      <c r="D34" s="30"/>
      <c r="E34" s="45"/>
      <c r="F34" s="30"/>
      <c r="G34" s="31"/>
      <c r="H34" s="39"/>
      <c r="I34" s="21"/>
      <c r="J34" s="21"/>
      <c r="K34" s="21"/>
      <c r="L34" s="21"/>
      <c r="M34" s="21"/>
    </row>
    <row r="35" spans="1:13" ht="15.75" customHeight="1" x14ac:dyDescent="0.2">
      <c r="A35" s="21"/>
      <c r="B35" s="41"/>
      <c r="C35" s="34"/>
      <c r="D35" s="40"/>
      <c r="E35" s="42"/>
      <c r="F35" s="34"/>
      <c r="G35" s="36"/>
      <c r="H35" s="43"/>
      <c r="I35" s="21"/>
      <c r="J35" s="21"/>
      <c r="K35" s="21"/>
      <c r="L35" s="21"/>
      <c r="M35" s="21"/>
    </row>
    <row r="36" spans="1:13" ht="15.75" customHeight="1" x14ac:dyDescent="0.2">
      <c r="A36" s="21"/>
      <c r="B36" s="44"/>
      <c r="C36" s="28"/>
      <c r="D36" s="30"/>
      <c r="E36" s="45"/>
      <c r="F36" s="30"/>
      <c r="G36" s="31"/>
      <c r="H36" s="39"/>
      <c r="I36" s="21"/>
      <c r="J36" s="21"/>
      <c r="K36" s="21"/>
      <c r="L36" s="21"/>
      <c r="M36" s="21"/>
    </row>
    <row r="37" spans="1:13" ht="15.75" customHeight="1" x14ac:dyDescent="0.2">
      <c r="A37" s="21"/>
      <c r="B37" s="41"/>
      <c r="C37" s="34"/>
      <c r="D37" s="40"/>
      <c r="E37" s="42"/>
      <c r="F37" s="40"/>
      <c r="G37" s="36"/>
      <c r="H37" s="43"/>
      <c r="I37" s="21"/>
      <c r="J37" s="21"/>
      <c r="K37" s="21"/>
      <c r="L37" s="21"/>
      <c r="M37" s="21"/>
    </row>
    <row r="38" spans="1:13" ht="15.75" customHeight="1" x14ac:dyDescent="0.2">
      <c r="A38" s="21"/>
      <c r="B38" s="44"/>
      <c r="C38" s="28"/>
      <c r="D38" s="30"/>
      <c r="E38" s="45"/>
      <c r="F38" s="30"/>
      <c r="G38" s="31"/>
      <c r="H38" s="39"/>
      <c r="I38" s="21"/>
      <c r="J38" s="21"/>
      <c r="K38" s="21"/>
      <c r="L38" s="21"/>
      <c r="M38" s="21"/>
    </row>
    <row r="39" spans="1:13" ht="15.75" customHeight="1" x14ac:dyDescent="0.2">
      <c r="A39" s="21"/>
      <c r="B39" s="41"/>
      <c r="C39" s="34"/>
      <c r="D39" s="40"/>
      <c r="E39" s="42"/>
      <c r="F39" s="40"/>
      <c r="G39" s="36"/>
      <c r="H39" s="43"/>
      <c r="I39" s="21"/>
      <c r="J39" s="21"/>
      <c r="K39" s="21"/>
      <c r="L39" s="21"/>
      <c r="M39" s="21"/>
    </row>
    <row r="40" spans="1:13" ht="15.75" customHeight="1" x14ac:dyDescent="0.2">
      <c r="A40" s="21"/>
      <c r="B40" s="44"/>
      <c r="C40" s="28"/>
      <c r="D40" s="30"/>
      <c r="E40" s="45"/>
      <c r="F40" s="30"/>
      <c r="G40" s="31"/>
      <c r="H40" s="39"/>
      <c r="I40" s="21"/>
      <c r="J40" s="21"/>
      <c r="K40" s="21"/>
      <c r="L40" s="21"/>
      <c r="M40" s="21"/>
    </row>
    <row r="41" spans="1:13" ht="15.75" customHeight="1" x14ac:dyDescent="0.2">
      <c r="A41" s="21"/>
      <c r="B41" s="41"/>
      <c r="C41" s="34"/>
      <c r="D41" s="40"/>
      <c r="E41" s="42"/>
      <c r="F41" s="40"/>
      <c r="G41" s="36"/>
      <c r="H41" s="43"/>
      <c r="I41" s="21"/>
      <c r="J41" s="21"/>
      <c r="K41" s="21"/>
      <c r="L41" s="21"/>
      <c r="M41" s="21"/>
    </row>
    <row r="42" spans="1:13" ht="15.75" customHeight="1" x14ac:dyDescent="0.2">
      <c r="A42" s="21"/>
      <c r="B42" s="44"/>
      <c r="C42" s="28"/>
      <c r="D42" s="30"/>
      <c r="E42" s="45"/>
      <c r="F42" s="28"/>
      <c r="G42" s="31"/>
      <c r="H42" s="39"/>
      <c r="I42" s="21"/>
      <c r="J42" s="21"/>
      <c r="K42" s="21"/>
      <c r="L42" s="21"/>
      <c r="M42" s="21"/>
    </row>
    <row r="43" spans="1:13" ht="15.75" customHeight="1" x14ac:dyDescent="0.2">
      <c r="A43" s="21"/>
      <c r="B43" s="41"/>
      <c r="C43" s="34"/>
      <c r="D43" s="40"/>
      <c r="E43" s="42"/>
      <c r="F43" s="40"/>
      <c r="G43" s="36"/>
      <c r="H43" s="43"/>
      <c r="I43" s="21"/>
      <c r="J43" s="21"/>
      <c r="K43" s="21"/>
      <c r="L43" s="21"/>
      <c r="M43" s="21"/>
    </row>
    <row r="44" spans="1:13" ht="15.75" customHeight="1" x14ac:dyDescent="0.2">
      <c r="A44" s="21"/>
      <c r="B44" s="44"/>
      <c r="C44" s="28"/>
      <c r="D44" s="30"/>
      <c r="E44" s="45"/>
      <c r="F44" s="30"/>
      <c r="G44" s="31"/>
      <c r="H44" s="39"/>
      <c r="I44" s="21"/>
      <c r="J44" s="21"/>
      <c r="K44" s="21"/>
      <c r="L44" s="21"/>
      <c r="M44" s="21"/>
    </row>
    <row r="45" spans="1:13" ht="15.75" customHeight="1" x14ac:dyDescent="0.2">
      <c r="A45" s="21"/>
      <c r="B45" s="41"/>
      <c r="C45" s="34"/>
      <c r="D45" s="40"/>
      <c r="E45" s="42"/>
      <c r="F45" s="34"/>
      <c r="G45" s="36"/>
      <c r="H45" s="43"/>
      <c r="I45" s="21"/>
      <c r="J45" s="21"/>
      <c r="K45" s="21"/>
      <c r="L45" s="21"/>
      <c r="M45" s="21"/>
    </row>
    <row r="46" spans="1:13" ht="15.75" customHeight="1" x14ac:dyDescent="0.2">
      <c r="A46" s="21"/>
      <c r="B46" s="44"/>
      <c r="C46" s="28"/>
      <c r="D46" s="30"/>
      <c r="E46" s="45"/>
      <c r="F46" s="30"/>
      <c r="G46" s="31"/>
      <c r="H46" s="39"/>
      <c r="I46" s="21"/>
      <c r="J46" s="21"/>
      <c r="K46" s="21"/>
      <c r="L46" s="21"/>
      <c r="M46" s="21"/>
    </row>
    <row r="47" spans="1:13" ht="15.75" customHeight="1" x14ac:dyDescent="0.2">
      <c r="A47" s="21"/>
      <c r="B47" s="41"/>
      <c r="C47" s="34"/>
      <c r="D47" s="40"/>
      <c r="E47" s="42"/>
      <c r="F47" s="34"/>
      <c r="G47" s="36"/>
      <c r="H47" s="43"/>
      <c r="I47" s="21"/>
      <c r="J47" s="21"/>
      <c r="K47" s="21"/>
      <c r="L47" s="21"/>
      <c r="M47" s="21"/>
    </row>
    <row r="48" spans="1:13" ht="15.75" customHeight="1" x14ac:dyDescent="0.2">
      <c r="A48" s="21"/>
      <c r="B48" s="44"/>
      <c r="C48" s="28"/>
      <c r="D48" s="30"/>
      <c r="E48" s="45"/>
      <c r="F48" s="30"/>
      <c r="G48" s="31"/>
      <c r="H48" s="39"/>
      <c r="I48" s="21"/>
      <c r="J48" s="21"/>
      <c r="K48" s="21"/>
      <c r="L48" s="21"/>
      <c r="M48" s="21"/>
    </row>
    <row r="49" spans="1:13" ht="15.75" customHeight="1" x14ac:dyDescent="0.2">
      <c r="A49" s="21"/>
      <c r="B49" s="41"/>
      <c r="C49" s="34"/>
      <c r="D49" s="40"/>
      <c r="E49" s="42"/>
      <c r="F49" s="40"/>
      <c r="G49" s="36"/>
      <c r="H49" s="43"/>
      <c r="I49" s="21"/>
      <c r="J49" s="21"/>
      <c r="K49" s="21"/>
      <c r="L49" s="21"/>
      <c r="M49" s="21"/>
    </row>
    <row r="50" spans="1:13" ht="15.75" customHeight="1" x14ac:dyDescent="0.2">
      <c r="A50" s="21"/>
      <c r="B50" s="44"/>
      <c r="C50" s="28"/>
      <c r="D50" s="30"/>
      <c r="E50" s="45"/>
      <c r="F50" s="30"/>
      <c r="G50" s="31"/>
      <c r="H50" s="39"/>
      <c r="I50" s="21"/>
      <c r="J50" s="21"/>
      <c r="K50" s="21"/>
      <c r="L50" s="21"/>
      <c r="M50" s="21"/>
    </row>
    <row r="51" spans="1:13" ht="15.75" customHeight="1" x14ac:dyDescent="0.2">
      <c r="A51" s="21"/>
      <c r="B51" s="41"/>
      <c r="C51" s="34"/>
      <c r="D51" s="40"/>
      <c r="E51" s="42"/>
      <c r="F51" s="40"/>
      <c r="G51" s="36"/>
      <c r="H51" s="43"/>
      <c r="I51" s="21"/>
      <c r="J51" s="21"/>
      <c r="K51" s="21"/>
      <c r="L51" s="21"/>
      <c r="M51" s="21"/>
    </row>
    <row r="52" spans="1:13" ht="15.75" customHeight="1" x14ac:dyDescent="0.2">
      <c r="A52" s="21"/>
      <c r="B52" s="44"/>
      <c r="C52" s="28"/>
      <c r="D52" s="30"/>
      <c r="E52" s="45"/>
      <c r="F52" s="30"/>
      <c r="G52" s="31"/>
      <c r="H52" s="39"/>
      <c r="I52" s="21"/>
      <c r="J52" s="21"/>
      <c r="K52" s="21"/>
      <c r="L52" s="21"/>
      <c r="M52" s="21"/>
    </row>
    <row r="53" spans="1:13" ht="15.75" customHeight="1" x14ac:dyDescent="0.2">
      <c r="A53" s="21"/>
      <c r="B53" s="41"/>
      <c r="C53" s="34"/>
      <c r="D53" s="40"/>
      <c r="E53" s="42"/>
      <c r="F53" s="40"/>
      <c r="G53" s="36"/>
      <c r="H53" s="43"/>
      <c r="I53" s="21"/>
      <c r="J53" s="21"/>
      <c r="K53" s="21"/>
      <c r="L53" s="21"/>
      <c r="M53" s="21"/>
    </row>
    <row r="54" spans="1:13" ht="15.75" customHeight="1" x14ac:dyDescent="0.2">
      <c r="A54" s="21"/>
      <c r="B54" s="44"/>
      <c r="C54" s="28"/>
      <c r="D54" s="30"/>
      <c r="E54" s="45"/>
      <c r="F54" s="30"/>
      <c r="G54" s="31"/>
      <c r="H54" s="39"/>
      <c r="I54" s="21"/>
      <c r="J54" s="21"/>
      <c r="K54" s="21"/>
      <c r="L54" s="21"/>
      <c r="M54" s="21"/>
    </row>
    <row r="55" spans="1:13" ht="15.75" customHeight="1" x14ac:dyDescent="0.2">
      <c r="A55" s="21"/>
      <c r="B55" s="41"/>
      <c r="C55" s="34"/>
      <c r="D55" s="40"/>
      <c r="E55" s="42"/>
      <c r="F55" s="34"/>
      <c r="G55" s="36"/>
      <c r="H55" s="43"/>
      <c r="I55" s="21"/>
      <c r="J55" s="21"/>
      <c r="K55" s="21"/>
      <c r="L55" s="21"/>
      <c r="M55" s="21"/>
    </row>
    <row r="56" spans="1:13" ht="15.75" customHeight="1" x14ac:dyDescent="0.2">
      <c r="A56" s="21"/>
      <c r="B56" s="44"/>
      <c r="C56" s="28"/>
      <c r="D56" s="30"/>
      <c r="E56" s="45"/>
      <c r="F56" s="28"/>
      <c r="G56" s="31"/>
      <c r="H56" s="39"/>
      <c r="I56" s="21"/>
      <c r="J56" s="21"/>
      <c r="K56" s="21"/>
      <c r="L56" s="21"/>
      <c r="M56" s="21"/>
    </row>
    <row r="57" spans="1:13" ht="15.75" customHeight="1" x14ac:dyDescent="0.2">
      <c r="A57" s="21"/>
      <c r="B57" s="41"/>
      <c r="C57" s="34"/>
      <c r="D57" s="40"/>
      <c r="E57" s="42"/>
      <c r="F57" s="40"/>
      <c r="G57" s="36"/>
      <c r="H57" s="43"/>
      <c r="I57" s="21"/>
      <c r="J57" s="21"/>
      <c r="K57" s="21"/>
      <c r="L57" s="21"/>
      <c r="M57" s="21"/>
    </row>
    <row r="58" spans="1:13" ht="15.75" customHeight="1" x14ac:dyDescent="0.2">
      <c r="A58" s="21"/>
      <c r="B58" s="44"/>
      <c r="C58" s="28"/>
      <c r="D58" s="30"/>
      <c r="E58" s="45"/>
      <c r="F58" s="30"/>
      <c r="G58" s="31"/>
      <c r="H58" s="39"/>
      <c r="I58" s="21"/>
      <c r="J58" s="21"/>
      <c r="K58" s="21"/>
      <c r="L58" s="21"/>
      <c r="M58" s="21"/>
    </row>
    <row r="59" spans="1:13" ht="15.75" customHeight="1" x14ac:dyDescent="0.2">
      <c r="A59" s="21"/>
      <c r="B59" s="41"/>
      <c r="C59" s="34"/>
      <c r="D59" s="40"/>
      <c r="E59" s="42"/>
      <c r="F59" s="34"/>
      <c r="G59" s="36"/>
      <c r="H59" s="43"/>
      <c r="I59" s="21"/>
      <c r="J59" s="21"/>
      <c r="K59" s="21"/>
      <c r="L59" s="21"/>
      <c r="M59" s="21"/>
    </row>
    <row r="60" spans="1:13" ht="15.75" customHeight="1" x14ac:dyDescent="0.2">
      <c r="A60" s="21"/>
      <c r="B60" s="44"/>
      <c r="C60" s="28"/>
      <c r="D60" s="30"/>
      <c r="E60" s="45"/>
      <c r="F60" s="28"/>
      <c r="G60" s="31"/>
      <c r="H60" s="32"/>
      <c r="I60" s="21"/>
      <c r="J60" s="21"/>
      <c r="K60" s="21"/>
      <c r="L60" s="21"/>
      <c r="M60" s="21"/>
    </row>
    <row r="61" spans="1:13" ht="15.75" customHeight="1" x14ac:dyDescent="0.2">
      <c r="A61" s="21"/>
      <c r="B61" s="41"/>
      <c r="C61" s="34"/>
      <c r="D61" s="40"/>
      <c r="E61" s="42"/>
      <c r="F61" s="40"/>
      <c r="G61" s="36"/>
      <c r="H61" s="43"/>
      <c r="I61" s="21"/>
      <c r="J61" s="21"/>
      <c r="K61" s="21"/>
      <c r="L61" s="21"/>
      <c r="M61" s="21"/>
    </row>
    <row r="62" spans="1:13" ht="15.75" customHeight="1" x14ac:dyDescent="0.2">
      <c r="A62" s="21"/>
      <c r="B62" s="44"/>
      <c r="C62" s="28"/>
      <c r="D62" s="30"/>
      <c r="E62" s="45"/>
      <c r="F62" s="30"/>
      <c r="G62" s="31"/>
      <c r="H62" s="39"/>
      <c r="I62" s="21"/>
      <c r="J62" s="21"/>
      <c r="K62" s="21"/>
      <c r="L62" s="21"/>
      <c r="M62" s="21"/>
    </row>
    <row r="63" spans="1:13" ht="15.75" customHeight="1" x14ac:dyDescent="0.2">
      <c r="A63" s="21"/>
      <c r="B63" s="41"/>
      <c r="C63" s="34"/>
      <c r="D63" s="40"/>
      <c r="E63" s="42"/>
      <c r="F63" s="40"/>
      <c r="G63" s="36"/>
      <c r="H63" s="43"/>
      <c r="I63" s="21"/>
      <c r="J63" s="21"/>
      <c r="K63" s="21"/>
      <c r="L63" s="21"/>
      <c r="M63" s="21"/>
    </row>
    <row r="64" spans="1:13" ht="15.75" customHeight="1" x14ac:dyDescent="0.2">
      <c r="A64" s="21"/>
      <c r="B64" s="44"/>
      <c r="C64" s="28"/>
      <c r="D64" s="38"/>
      <c r="E64" s="45"/>
      <c r="F64" s="30"/>
      <c r="G64" s="31"/>
      <c r="H64" s="39"/>
      <c r="I64" s="21"/>
      <c r="J64" s="21"/>
      <c r="K64" s="21"/>
      <c r="L64" s="21"/>
      <c r="M64" s="21"/>
    </row>
    <row r="65" spans="1:13" ht="15.75" customHeight="1" x14ac:dyDescent="0.2">
      <c r="A65" s="21"/>
      <c r="B65" s="41"/>
      <c r="C65" s="34"/>
      <c r="D65" s="40"/>
      <c r="E65" s="42"/>
      <c r="F65" s="34"/>
      <c r="G65" s="36"/>
      <c r="H65" s="43"/>
      <c r="I65" s="21"/>
      <c r="J65" s="21"/>
      <c r="K65" s="21"/>
      <c r="L65" s="21"/>
      <c r="M65" s="21"/>
    </row>
    <row r="66" spans="1:13" ht="15.75" customHeight="1" x14ac:dyDescent="0.2">
      <c r="A66" s="21"/>
      <c r="B66" s="44"/>
      <c r="C66" s="28"/>
      <c r="D66" s="30"/>
      <c r="E66" s="45"/>
      <c r="F66" s="30"/>
      <c r="G66" s="31"/>
      <c r="H66" s="39"/>
      <c r="I66" s="21"/>
      <c r="J66" s="21"/>
      <c r="K66" s="21"/>
      <c r="L66" s="21"/>
      <c r="M66" s="21"/>
    </row>
    <row r="67" spans="1:13" ht="15.75" customHeight="1" x14ac:dyDescent="0.2">
      <c r="A67" s="21"/>
      <c r="B67" s="41"/>
      <c r="C67" s="34"/>
      <c r="D67" s="40"/>
      <c r="E67" s="42"/>
      <c r="F67" s="40"/>
      <c r="G67" s="36"/>
      <c r="H67" s="43"/>
      <c r="I67" s="21"/>
      <c r="J67" s="21"/>
      <c r="K67" s="21"/>
      <c r="L67" s="21"/>
      <c r="M67" s="21"/>
    </row>
    <row r="68" spans="1:13" ht="15.75" customHeight="1" x14ac:dyDescent="0.2">
      <c r="A68" s="21"/>
      <c r="B68" s="44"/>
      <c r="C68" s="28"/>
      <c r="D68" s="30"/>
      <c r="E68" s="45"/>
      <c r="F68" s="28"/>
      <c r="G68" s="31"/>
      <c r="H68" s="30"/>
      <c r="I68" s="21"/>
      <c r="J68" s="21"/>
      <c r="K68" s="21"/>
      <c r="L68" s="21"/>
      <c r="M68" s="21"/>
    </row>
    <row r="69" spans="1:13" ht="15.75" customHeight="1" x14ac:dyDescent="0.2">
      <c r="A69" s="21"/>
      <c r="B69" s="41"/>
      <c r="C69" s="34"/>
      <c r="D69" s="40"/>
      <c r="E69" s="42"/>
      <c r="F69" s="40"/>
      <c r="G69" s="36"/>
      <c r="H69" s="43"/>
      <c r="I69" s="21"/>
      <c r="J69" s="21"/>
      <c r="K69" s="21"/>
      <c r="L69" s="21"/>
      <c r="M69" s="21"/>
    </row>
    <row r="70" spans="1:13" ht="15.75" customHeight="1" x14ac:dyDescent="0.2">
      <c r="A70" s="21"/>
      <c r="B70" s="44"/>
      <c r="C70" s="28"/>
      <c r="D70" s="30"/>
      <c r="E70" s="45"/>
      <c r="F70" s="30"/>
      <c r="G70" s="31"/>
      <c r="H70" s="39"/>
      <c r="I70" s="21"/>
      <c r="J70" s="21"/>
      <c r="K70" s="21"/>
      <c r="L70" s="21"/>
      <c r="M70" s="21"/>
    </row>
    <row r="71" spans="1:13" ht="15.75" customHeight="1" x14ac:dyDescent="0.2">
      <c r="A71" s="21"/>
      <c r="B71" s="41"/>
      <c r="C71" s="34"/>
      <c r="D71" s="40"/>
      <c r="E71" s="42"/>
      <c r="F71" s="34"/>
      <c r="G71" s="36"/>
      <c r="H71" s="43"/>
      <c r="I71" s="21"/>
      <c r="J71" s="21"/>
      <c r="K71" s="21"/>
      <c r="L71" s="21"/>
      <c r="M71" s="21"/>
    </row>
    <row r="72" spans="1:13" ht="15.75" customHeight="1" x14ac:dyDescent="0.2">
      <c r="A72" s="21"/>
      <c r="B72" s="44"/>
      <c r="C72" s="28"/>
      <c r="D72" s="30"/>
      <c r="E72" s="45"/>
      <c r="F72" s="30"/>
      <c r="G72" s="31"/>
      <c r="H72" s="39"/>
      <c r="I72" s="21"/>
      <c r="J72" s="21"/>
      <c r="K72" s="21"/>
      <c r="L72" s="21"/>
      <c r="M72" s="21"/>
    </row>
    <row r="73" spans="1:13" ht="15.75" customHeight="1" x14ac:dyDescent="0.2">
      <c r="A73" s="21"/>
      <c r="B73" s="41"/>
      <c r="C73" s="34"/>
      <c r="D73" s="40"/>
      <c r="E73" s="42"/>
      <c r="F73" s="40"/>
      <c r="G73" s="36"/>
      <c r="H73" s="43"/>
      <c r="I73" s="21"/>
      <c r="J73" s="21"/>
      <c r="K73" s="21"/>
      <c r="L73" s="21"/>
      <c r="M73" s="21"/>
    </row>
    <row r="74" spans="1:13" ht="15.75" customHeight="1" x14ac:dyDescent="0.2">
      <c r="A74" s="21"/>
      <c r="B74" s="44"/>
      <c r="C74" s="28"/>
      <c r="D74" s="30"/>
      <c r="E74" s="45"/>
      <c r="F74" s="30"/>
      <c r="G74" s="31"/>
      <c r="H74" s="39"/>
      <c r="I74" s="21"/>
      <c r="J74" s="21"/>
      <c r="K74" s="21"/>
      <c r="L74" s="21"/>
      <c r="M74" s="21"/>
    </row>
    <row r="75" spans="1:13" ht="15.75" customHeight="1" x14ac:dyDescent="0.2">
      <c r="A75" s="21"/>
      <c r="B75" s="41"/>
      <c r="C75" s="34"/>
      <c r="D75" s="40"/>
      <c r="E75" s="42"/>
      <c r="F75" s="34"/>
      <c r="G75" s="36"/>
      <c r="H75" s="43"/>
      <c r="I75" s="21"/>
      <c r="J75" s="21"/>
      <c r="K75" s="21"/>
      <c r="L75" s="21"/>
      <c r="M75" s="21"/>
    </row>
    <row r="76" spans="1:13" ht="15.75" customHeight="1" x14ac:dyDescent="0.2">
      <c r="A76" s="21"/>
      <c r="B76" s="44"/>
      <c r="C76" s="28"/>
      <c r="D76" s="30"/>
      <c r="E76" s="45"/>
      <c r="F76" s="30"/>
      <c r="G76" s="31"/>
      <c r="H76" s="39"/>
      <c r="I76" s="21"/>
      <c r="J76" s="21"/>
      <c r="K76" s="21"/>
      <c r="L76" s="21"/>
      <c r="M76" s="21"/>
    </row>
    <row r="77" spans="1:13" ht="15.75" customHeight="1" x14ac:dyDescent="0.2">
      <c r="A77" s="21"/>
      <c r="B77" s="41"/>
      <c r="C77" s="34"/>
      <c r="D77" s="40"/>
      <c r="E77" s="42"/>
      <c r="F77" s="40"/>
      <c r="G77" s="36"/>
      <c r="H77" s="43"/>
      <c r="I77" s="21"/>
      <c r="J77" s="21"/>
      <c r="K77" s="21"/>
      <c r="L77" s="21"/>
      <c r="M77" s="21"/>
    </row>
    <row r="78" spans="1:13" ht="15.75" customHeight="1" x14ac:dyDescent="0.2">
      <c r="A78" s="21"/>
      <c r="B78" s="44"/>
      <c r="C78" s="28"/>
      <c r="D78" s="30"/>
      <c r="E78" s="45"/>
      <c r="F78" s="30"/>
      <c r="G78" s="31"/>
      <c r="H78" s="39"/>
      <c r="I78" s="21"/>
      <c r="J78" s="21"/>
      <c r="K78" s="21"/>
      <c r="L78" s="21"/>
      <c r="M78" s="21"/>
    </row>
    <row r="79" spans="1:13" ht="15.75" customHeight="1" x14ac:dyDescent="0.2">
      <c r="A79" s="21"/>
      <c r="B79" s="41"/>
      <c r="C79" s="34"/>
      <c r="D79" s="40"/>
      <c r="E79" s="42"/>
      <c r="F79" s="40"/>
      <c r="G79" s="36"/>
      <c r="H79" s="43"/>
      <c r="I79" s="21"/>
      <c r="J79" s="21"/>
      <c r="K79" s="21"/>
      <c r="L79" s="21"/>
      <c r="M79" s="21"/>
    </row>
    <row r="80" spans="1:13" ht="15.75" customHeight="1" x14ac:dyDescent="0.2">
      <c r="A80" s="21"/>
      <c r="B80" s="44"/>
      <c r="C80" s="28"/>
      <c r="D80" s="30"/>
      <c r="E80" s="45"/>
      <c r="F80" s="30"/>
      <c r="G80" s="31"/>
      <c r="H80" s="39"/>
      <c r="I80" s="21"/>
      <c r="J80" s="21"/>
      <c r="K80" s="21"/>
      <c r="L80" s="21"/>
      <c r="M80" s="21"/>
    </row>
    <row r="81" spans="1:13" ht="15.75" customHeight="1" x14ac:dyDescent="0.2">
      <c r="A81" s="21"/>
      <c r="B81" s="41"/>
      <c r="C81" s="34"/>
      <c r="D81" s="40"/>
      <c r="E81" s="42"/>
      <c r="F81" s="34"/>
      <c r="G81" s="36"/>
      <c r="H81" s="43"/>
      <c r="I81" s="21"/>
      <c r="J81" s="21"/>
      <c r="K81" s="21"/>
      <c r="L81" s="21"/>
      <c r="M81" s="21"/>
    </row>
    <row r="82" spans="1:13" ht="15.75" customHeight="1" x14ac:dyDescent="0.2">
      <c r="A82" s="21"/>
      <c r="B82" s="44"/>
      <c r="C82" s="28"/>
      <c r="D82" s="30"/>
      <c r="E82" s="45"/>
      <c r="F82" s="30"/>
      <c r="G82" s="31"/>
      <c r="H82" s="39"/>
      <c r="I82" s="21"/>
      <c r="J82" s="21"/>
      <c r="K82" s="21"/>
      <c r="L82" s="21"/>
      <c r="M82" s="21"/>
    </row>
    <row r="83" spans="1:13" ht="15.75" customHeight="1" x14ac:dyDescent="0.2">
      <c r="A83" s="21"/>
      <c r="B83" s="41"/>
      <c r="C83" s="34"/>
      <c r="D83" s="40"/>
      <c r="E83" s="42"/>
      <c r="F83" s="40"/>
      <c r="G83" s="36"/>
      <c r="H83" s="43"/>
      <c r="I83" s="21"/>
      <c r="J83" s="21"/>
      <c r="K83" s="21"/>
      <c r="L83" s="21"/>
      <c r="M83" s="21"/>
    </row>
    <row r="84" spans="1:13" ht="15.75" customHeight="1" x14ac:dyDescent="0.2">
      <c r="A84" s="21"/>
      <c r="B84" s="44"/>
      <c r="C84" s="28"/>
      <c r="D84" s="30"/>
      <c r="E84" s="45"/>
      <c r="F84" s="30"/>
      <c r="G84" s="31"/>
      <c r="H84" s="39"/>
      <c r="I84" s="21"/>
      <c r="J84" s="21"/>
      <c r="K84" s="21"/>
      <c r="L84" s="21"/>
      <c r="M84" s="21"/>
    </row>
    <row r="85" spans="1:13" ht="15.75" customHeight="1" x14ac:dyDescent="0.2">
      <c r="A85" s="21"/>
      <c r="B85" s="41"/>
      <c r="C85" s="34"/>
      <c r="D85" s="40"/>
      <c r="E85" s="42"/>
      <c r="F85" s="40"/>
      <c r="G85" s="36"/>
      <c r="H85" s="43"/>
      <c r="I85" s="21"/>
      <c r="J85" s="21"/>
      <c r="K85" s="21"/>
      <c r="L85" s="21"/>
      <c r="M85" s="21"/>
    </row>
    <row r="86" spans="1:13" ht="15.75" customHeight="1" x14ac:dyDescent="0.2">
      <c r="A86" s="21"/>
      <c r="B86" s="44"/>
      <c r="C86" s="28"/>
      <c r="D86" s="30"/>
      <c r="E86" s="45"/>
      <c r="F86" s="30"/>
      <c r="G86" s="31"/>
      <c r="H86" s="39"/>
      <c r="I86" s="21"/>
      <c r="J86" s="21"/>
      <c r="K86" s="21"/>
      <c r="L86" s="21"/>
      <c r="M86" s="21"/>
    </row>
    <row r="87" spans="1:13" ht="15.75" customHeight="1" x14ac:dyDescent="0.2">
      <c r="A87" s="21"/>
      <c r="B87" s="41"/>
      <c r="C87" s="34"/>
      <c r="D87" s="40"/>
      <c r="E87" s="42"/>
      <c r="F87" s="34"/>
      <c r="G87" s="36"/>
      <c r="H87" s="43"/>
      <c r="I87" s="21"/>
      <c r="J87" s="21"/>
      <c r="K87" s="21"/>
      <c r="L87" s="21"/>
      <c r="M87" s="21"/>
    </row>
    <row r="88" spans="1:13" ht="15.75" customHeight="1" x14ac:dyDescent="0.2">
      <c r="A88" s="21"/>
      <c r="B88" s="44"/>
      <c r="C88" s="28"/>
      <c r="D88" s="30"/>
      <c r="E88" s="45"/>
      <c r="F88" s="30"/>
      <c r="G88" s="31"/>
      <c r="H88" s="39"/>
      <c r="I88" s="21"/>
      <c r="J88" s="21"/>
      <c r="K88" s="21"/>
      <c r="L88" s="21"/>
      <c r="M88" s="21"/>
    </row>
    <row r="89" spans="1:13" ht="15.75" customHeight="1" x14ac:dyDescent="0.2">
      <c r="A89" s="21"/>
      <c r="B89" s="41"/>
      <c r="C89" s="34"/>
      <c r="D89" s="40"/>
      <c r="E89" s="42"/>
      <c r="F89" s="40"/>
      <c r="G89" s="36"/>
      <c r="H89" s="43"/>
      <c r="I89" s="21"/>
      <c r="J89" s="21"/>
      <c r="K89" s="21"/>
      <c r="L89" s="21"/>
      <c r="M89" s="21"/>
    </row>
    <row r="90" spans="1:13" ht="15.75" customHeight="1" x14ac:dyDescent="0.2">
      <c r="A90" s="21"/>
      <c r="B90" s="44"/>
      <c r="C90" s="28"/>
      <c r="D90" s="30"/>
      <c r="E90" s="45"/>
      <c r="F90" s="30"/>
      <c r="G90" s="31"/>
      <c r="H90" s="39"/>
      <c r="I90" s="21"/>
      <c r="J90" s="21"/>
      <c r="K90" s="21"/>
      <c r="L90" s="21"/>
      <c r="M90" s="21"/>
    </row>
    <row r="91" spans="1:13" ht="15.75" customHeight="1" x14ac:dyDescent="0.2">
      <c r="A91" s="21"/>
      <c r="B91" s="41"/>
      <c r="C91" s="34"/>
      <c r="D91" s="40"/>
      <c r="E91" s="42"/>
      <c r="F91" s="40"/>
      <c r="G91" s="36"/>
      <c r="H91" s="43"/>
      <c r="I91" s="21"/>
      <c r="J91" s="21"/>
      <c r="K91" s="21"/>
      <c r="L91" s="21"/>
      <c r="M91" s="21"/>
    </row>
    <row r="92" spans="1:13" ht="15.75" customHeight="1" x14ac:dyDescent="0.2">
      <c r="A92" s="21"/>
      <c r="B92" s="44"/>
      <c r="C92" s="28"/>
      <c r="D92" s="30"/>
      <c r="E92" s="45"/>
      <c r="F92" s="30"/>
      <c r="G92" s="31"/>
      <c r="H92" s="39"/>
      <c r="I92" s="21"/>
      <c r="J92" s="21"/>
      <c r="K92" s="21"/>
      <c r="L92" s="21"/>
      <c r="M92" s="21"/>
    </row>
    <row r="93" spans="1:13" ht="15.75" customHeight="1" x14ac:dyDescent="0.2">
      <c r="A93" s="21"/>
      <c r="B93" s="41"/>
      <c r="C93" s="34"/>
      <c r="D93" s="40"/>
      <c r="E93" s="42"/>
      <c r="F93" s="40"/>
      <c r="G93" s="36"/>
      <c r="H93" s="43"/>
      <c r="I93" s="21"/>
      <c r="J93" s="21"/>
      <c r="K93" s="21"/>
      <c r="L93" s="21"/>
      <c r="M93" s="21"/>
    </row>
    <row r="94" spans="1:13" ht="15.75" customHeight="1" x14ac:dyDescent="0.2">
      <c r="A94" s="21"/>
      <c r="B94" s="44"/>
      <c r="C94" s="28"/>
      <c r="D94" s="30"/>
      <c r="E94" s="45"/>
      <c r="F94" s="30"/>
      <c r="G94" s="31"/>
      <c r="H94" s="39"/>
      <c r="I94" s="21"/>
      <c r="J94" s="21"/>
      <c r="K94" s="21"/>
      <c r="L94" s="21"/>
      <c r="M94" s="21"/>
    </row>
    <row r="95" spans="1:13" ht="15.75" customHeight="1" x14ac:dyDescent="0.2">
      <c r="A95" s="21"/>
      <c r="B95" s="41"/>
      <c r="C95" s="34"/>
      <c r="D95" s="40"/>
      <c r="E95" s="42"/>
      <c r="F95" s="34"/>
      <c r="G95" s="36"/>
      <c r="H95" s="43"/>
      <c r="I95" s="21"/>
      <c r="J95" s="21"/>
      <c r="K95" s="21"/>
      <c r="L95" s="21"/>
      <c r="M95" s="21"/>
    </row>
    <row r="96" spans="1:13" ht="15.75" customHeight="1" x14ac:dyDescent="0.2">
      <c r="A96" s="21"/>
      <c r="B96" s="44"/>
      <c r="C96" s="28"/>
      <c r="D96" s="30"/>
      <c r="E96" s="45"/>
      <c r="F96" s="30"/>
      <c r="G96" s="31"/>
      <c r="H96" s="39"/>
      <c r="I96" s="21"/>
      <c r="J96" s="21"/>
      <c r="K96" s="21"/>
      <c r="L96" s="21"/>
      <c r="M96" s="21"/>
    </row>
    <row r="97" spans="1:13" ht="15.75" customHeight="1" x14ac:dyDescent="0.2">
      <c r="A97" s="21"/>
      <c r="B97" s="41"/>
      <c r="C97" s="34"/>
      <c r="D97" s="40"/>
      <c r="E97" s="42"/>
      <c r="F97" s="40"/>
      <c r="G97" s="36"/>
      <c r="H97" s="40"/>
      <c r="I97" s="21"/>
      <c r="J97" s="21"/>
      <c r="K97" s="21"/>
      <c r="L97" s="21"/>
      <c r="M97" s="21"/>
    </row>
    <row r="98" spans="1:13" ht="15.75" customHeight="1" x14ac:dyDescent="0.2">
      <c r="A98" s="21"/>
      <c r="B98" s="44"/>
      <c r="C98" s="28"/>
      <c r="D98" s="30"/>
      <c r="E98" s="45"/>
      <c r="F98" s="30"/>
      <c r="G98" s="31"/>
      <c r="H98" s="30"/>
      <c r="I98" s="21"/>
      <c r="J98" s="21"/>
      <c r="K98" s="21"/>
      <c r="L98" s="21"/>
      <c r="M98" s="21"/>
    </row>
    <row r="99" spans="1:13" ht="15.75" customHeight="1" x14ac:dyDescent="0.2">
      <c r="A99" s="21"/>
      <c r="B99" s="41"/>
      <c r="C99" s="34"/>
      <c r="D99" s="40"/>
      <c r="E99" s="42"/>
      <c r="F99" s="40"/>
      <c r="G99" s="36"/>
      <c r="H99" s="43"/>
      <c r="I99" s="21"/>
      <c r="J99" s="21"/>
      <c r="K99" s="21"/>
      <c r="L99" s="21"/>
      <c r="M99" s="21"/>
    </row>
    <row r="100" spans="1:13" ht="15.75" customHeight="1" x14ac:dyDescent="0.2">
      <c r="A100" s="21"/>
      <c r="B100" s="44"/>
      <c r="C100" s="28"/>
      <c r="D100" s="30"/>
      <c r="E100" s="45"/>
      <c r="F100" s="30"/>
      <c r="G100" s="31"/>
      <c r="H100" s="39"/>
      <c r="I100" s="21"/>
      <c r="J100" s="21"/>
      <c r="K100" s="21"/>
      <c r="L100" s="21"/>
      <c r="M100" s="21"/>
    </row>
    <row r="101" spans="1:13" ht="15.75" customHeight="1" x14ac:dyDescent="0.2">
      <c r="A101" s="21"/>
      <c r="B101" s="41"/>
      <c r="C101" s="34"/>
      <c r="D101" s="40"/>
      <c r="E101" s="42"/>
      <c r="F101" s="40"/>
      <c r="G101" s="36"/>
      <c r="H101" s="43"/>
      <c r="I101" s="21"/>
      <c r="J101" s="21"/>
      <c r="K101" s="21"/>
      <c r="L101" s="21"/>
      <c r="M101" s="21"/>
    </row>
    <row r="102" spans="1:13" ht="15.75" customHeight="1" x14ac:dyDescent="0.2">
      <c r="A102" s="21"/>
      <c r="B102" s="44"/>
      <c r="C102" s="28"/>
      <c r="D102" s="30"/>
      <c r="E102" s="45"/>
      <c r="F102" s="30"/>
      <c r="G102" s="31"/>
      <c r="H102" s="39"/>
      <c r="I102" s="21"/>
      <c r="J102" s="21"/>
      <c r="K102" s="21"/>
      <c r="L102" s="21"/>
      <c r="M102" s="21"/>
    </row>
    <row r="103" spans="1:13" ht="15.75" customHeight="1" x14ac:dyDescent="0.2">
      <c r="A103" s="21"/>
      <c r="B103" s="41"/>
      <c r="C103" s="34"/>
      <c r="D103" s="40"/>
      <c r="E103" s="42"/>
      <c r="F103" s="40"/>
      <c r="G103" s="36"/>
      <c r="H103" s="43"/>
      <c r="I103" s="21"/>
      <c r="J103" s="21"/>
      <c r="K103" s="21"/>
      <c r="L103" s="21"/>
      <c r="M103" s="21"/>
    </row>
    <row r="104" spans="1:13" ht="15.75" customHeight="1" x14ac:dyDescent="0.2">
      <c r="A104" s="21"/>
      <c r="B104" s="44"/>
      <c r="C104" s="28"/>
      <c r="D104" s="30"/>
      <c r="E104" s="45"/>
      <c r="F104" s="30"/>
      <c r="G104" s="31"/>
      <c r="H104" s="39"/>
      <c r="I104" s="21"/>
      <c r="J104" s="21"/>
      <c r="K104" s="21"/>
      <c r="L104" s="21"/>
      <c r="M104" s="21"/>
    </row>
    <row r="105" spans="1:13" ht="15.75" customHeight="1" x14ac:dyDescent="0.2">
      <c r="A105" s="21"/>
      <c r="B105" s="41"/>
      <c r="C105" s="34"/>
      <c r="D105" s="40"/>
      <c r="E105" s="42"/>
      <c r="F105" s="40"/>
      <c r="G105" s="36"/>
      <c r="H105" s="43"/>
      <c r="I105" s="21"/>
      <c r="J105" s="21"/>
      <c r="K105" s="21"/>
      <c r="L105" s="21"/>
      <c r="M105" s="21"/>
    </row>
    <row r="106" spans="1:13" ht="15.75" customHeight="1" x14ac:dyDescent="0.2">
      <c r="A106" s="21"/>
      <c r="B106" s="44"/>
      <c r="C106" s="28"/>
      <c r="D106" s="30"/>
      <c r="E106" s="45"/>
      <c r="F106" s="30"/>
      <c r="G106" s="31"/>
      <c r="H106" s="39"/>
      <c r="I106" s="21"/>
      <c r="J106" s="21"/>
      <c r="K106" s="21"/>
      <c r="L106" s="21"/>
      <c r="M106" s="21"/>
    </row>
    <row r="107" spans="1:13" ht="15.75" customHeight="1" x14ac:dyDescent="0.2">
      <c r="A107" s="21"/>
      <c r="B107" s="41"/>
      <c r="C107" s="34"/>
      <c r="D107" s="40"/>
      <c r="E107" s="42"/>
      <c r="F107" s="34"/>
      <c r="G107" s="36"/>
      <c r="H107" s="43"/>
      <c r="I107" s="21"/>
      <c r="J107" s="21"/>
      <c r="K107" s="21"/>
      <c r="L107" s="21"/>
      <c r="M107" s="21"/>
    </row>
    <row r="108" spans="1:13" ht="15.75" customHeight="1" x14ac:dyDescent="0.2">
      <c r="A108" s="21"/>
      <c r="B108" s="44"/>
      <c r="C108" s="28"/>
      <c r="D108" s="30"/>
      <c r="E108" s="45"/>
      <c r="F108" s="30"/>
      <c r="G108" s="31"/>
      <c r="H108" s="39"/>
      <c r="I108" s="21"/>
      <c r="J108" s="21"/>
      <c r="K108" s="21"/>
      <c r="L108" s="21"/>
      <c r="M108" s="21"/>
    </row>
    <row r="109" spans="1:13" ht="15.75" customHeight="1" x14ac:dyDescent="0.2">
      <c r="A109" s="21"/>
      <c r="B109" s="41"/>
      <c r="C109" s="34"/>
      <c r="D109" s="40"/>
      <c r="E109" s="42"/>
      <c r="F109" s="34"/>
      <c r="G109" s="36"/>
      <c r="H109" s="43"/>
      <c r="I109" s="21"/>
      <c r="J109" s="21"/>
      <c r="K109" s="21"/>
      <c r="L109" s="21"/>
      <c r="M109" s="21"/>
    </row>
    <row r="110" spans="1:13" ht="15.75" customHeight="1" x14ac:dyDescent="0.2">
      <c r="A110" s="21"/>
      <c r="B110" s="44"/>
      <c r="C110" s="28"/>
      <c r="D110" s="30"/>
      <c r="E110" s="45"/>
      <c r="F110" s="28"/>
      <c r="G110" s="31"/>
      <c r="H110" s="39"/>
      <c r="I110" s="21"/>
      <c r="J110" s="21"/>
      <c r="K110" s="21"/>
      <c r="L110" s="21"/>
      <c r="M110" s="21"/>
    </row>
    <row r="111" spans="1:13" ht="15.75" customHeight="1" x14ac:dyDescent="0.2">
      <c r="A111" s="21"/>
      <c r="B111" s="41"/>
      <c r="C111" s="34"/>
      <c r="D111" s="40"/>
      <c r="E111" s="42"/>
      <c r="F111" s="40"/>
      <c r="G111" s="36"/>
      <c r="H111" s="43"/>
      <c r="I111" s="21"/>
      <c r="J111" s="21"/>
      <c r="K111" s="21"/>
      <c r="L111" s="21"/>
      <c r="M111" s="21"/>
    </row>
    <row r="112" spans="1:13" ht="15.75" customHeight="1" x14ac:dyDescent="0.2">
      <c r="A112" s="21"/>
      <c r="B112" s="44"/>
      <c r="C112" s="28"/>
      <c r="D112" s="30"/>
      <c r="E112" s="45"/>
      <c r="F112" s="30"/>
      <c r="G112" s="31"/>
      <c r="H112" s="39"/>
      <c r="I112" s="21"/>
      <c r="J112" s="21"/>
      <c r="K112" s="21"/>
      <c r="L112" s="21"/>
      <c r="M112" s="21"/>
    </row>
    <row r="113" spans="1:13" ht="15.75" customHeight="1" x14ac:dyDescent="0.2">
      <c r="A113" s="21"/>
      <c r="B113" s="41"/>
      <c r="C113" s="34"/>
      <c r="D113" s="40"/>
      <c r="E113" s="42"/>
      <c r="F113" s="40"/>
      <c r="G113" s="36"/>
      <c r="H113" s="43"/>
      <c r="I113" s="21"/>
      <c r="J113" s="21"/>
      <c r="K113" s="21"/>
      <c r="L113" s="21"/>
      <c r="M113" s="21"/>
    </row>
    <row r="114" spans="1:13" ht="15.75" customHeight="1" x14ac:dyDescent="0.2">
      <c r="A114" s="21"/>
      <c r="B114" s="44"/>
      <c r="C114" s="28"/>
      <c r="D114" s="30"/>
      <c r="E114" s="45"/>
      <c r="F114" s="30"/>
      <c r="G114" s="31"/>
      <c r="H114" s="39"/>
      <c r="I114" s="21"/>
      <c r="J114" s="21"/>
      <c r="K114" s="21"/>
      <c r="L114" s="21"/>
      <c r="M114" s="21"/>
    </row>
    <row r="115" spans="1:13" ht="15.75" customHeight="1" x14ac:dyDescent="0.2">
      <c r="A115" s="21"/>
      <c r="B115" s="41"/>
      <c r="C115" s="34"/>
      <c r="D115" s="40"/>
      <c r="E115" s="42"/>
      <c r="F115" s="40"/>
      <c r="G115" s="36"/>
      <c r="H115" s="43"/>
      <c r="I115" s="21"/>
      <c r="J115" s="21"/>
      <c r="K115" s="21"/>
      <c r="L115" s="21"/>
      <c r="M115" s="21"/>
    </row>
    <row r="116" spans="1:13" ht="15.75" customHeight="1" x14ac:dyDescent="0.2">
      <c r="A116" s="21"/>
      <c r="B116" s="44"/>
      <c r="C116" s="28"/>
      <c r="D116" s="30"/>
      <c r="E116" s="45"/>
      <c r="F116" s="28"/>
      <c r="G116" s="31"/>
      <c r="H116" s="39"/>
      <c r="I116" s="21"/>
      <c r="J116" s="21"/>
      <c r="K116" s="21"/>
      <c r="L116" s="21"/>
      <c r="M116" s="21"/>
    </row>
    <row r="117" spans="1:13" ht="15.75" customHeight="1" x14ac:dyDescent="0.2">
      <c r="A117" s="21"/>
      <c r="B117" s="41"/>
      <c r="C117" s="34"/>
      <c r="D117" s="40"/>
      <c r="E117" s="42"/>
      <c r="F117" s="34"/>
      <c r="G117" s="36"/>
      <c r="H117" s="43"/>
      <c r="I117" s="21"/>
      <c r="J117" s="21"/>
      <c r="K117" s="21"/>
      <c r="L117" s="21"/>
      <c r="M117" s="21"/>
    </row>
    <row r="118" spans="1:13" ht="15.75" customHeight="1" x14ac:dyDescent="0.2">
      <c r="A118" s="21"/>
      <c r="B118" s="44"/>
      <c r="C118" s="28"/>
      <c r="D118" s="30"/>
      <c r="E118" s="45"/>
      <c r="F118" s="30"/>
      <c r="G118" s="31"/>
      <c r="H118" s="39"/>
      <c r="I118" s="21"/>
      <c r="J118" s="21"/>
      <c r="K118" s="21"/>
      <c r="L118" s="21"/>
      <c r="M118" s="21"/>
    </row>
    <row r="119" spans="1:13" ht="15.75" customHeight="1" x14ac:dyDescent="0.2">
      <c r="A119" s="21"/>
      <c r="B119" s="41"/>
      <c r="C119" s="34"/>
      <c r="D119" s="43"/>
      <c r="E119" s="42"/>
      <c r="F119" s="43"/>
      <c r="G119" s="36"/>
      <c r="H119" s="43"/>
      <c r="I119" s="21"/>
      <c r="J119" s="21"/>
      <c r="K119" s="21"/>
      <c r="L119" s="21"/>
      <c r="M119" s="21"/>
    </row>
    <row r="120" spans="1:13" ht="15.75" customHeight="1" x14ac:dyDescent="0.2">
      <c r="A120" s="21"/>
      <c r="B120" s="44"/>
      <c r="C120" s="28"/>
      <c r="D120" s="30"/>
      <c r="E120" s="45"/>
      <c r="F120" s="39"/>
      <c r="G120" s="31"/>
      <c r="H120" s="39"/>
      <c r="I120" s="21"/>
      <c r="J120" s="21"/>
      <c r="K120" s="21"/>
      <c r="L120" s="21"/>
      <c r="M120" s="21"/>
    </row>
    <row r="121" spans="1:13" ht="15.75" customHeight="1" x14ac:dyDescent="0.2">
      <c r="A121" s="21"/>
      <c r="B121" s="41"/>
      <c r="C121" s="34"/>
      <c r="D121" s="43"/>
      <c r="E121" s="42"/>
      <c r="F121" s="43"/>
      <c r="G121" s="36"/>
      <c r="H121" s="43"/>
      <c r="I121" s="21"/>
      <c r="J121" s="21"/>
      <c r="K121" s="21"/>
      <c r="L121" s="21"/>
      <c r="M121" s="21"/>
    </row>
    <row r="122" spans="1:13" ht="15.75" customHeight="1" x14ac:dyDescent="0.2">
      <c r="A122" s="21"/>
      <c r="B122" s="44"/>
      <c r="C122" s="28"/>
      <c r="D122" s="39"/>
      <c r="E122" s="45"/>
      <c r="F122" s="30"/>
      <c r="G122" s="31"/>
      <c r="H122" s="39"/>
      <c r="I122" s="21"/>
      <c r="J122" s="21"/>
      <c r="K122" s="21"/>
      <c r="L122" s="21"/>
      <c r="M122" s="21"/>
    </row>
    <row r="123" spans="1:13" ht="15.75" customHeight="1" x14ac:dyDescent="0.2">
      <c r="A123" s="21"/>
      <c r="B123" s="41"/>
      <c r="C123" s="34"/>
      <c r="D123" s="43"/>
      <c r="E123" s="42"/>
      <c r="F123" s="34"/>
      <c r="G123" s="36"/>
      <c r="H123" s="43"/>
      <c r="I123" s="21"/>
      <c r="J123" s="21"/>
      <c r="K123" s="21"/>
      <c r="L123" s="21"/>
      <c r="M123" s="21"/>
    </row>
    <row r="124" spans="1:13" ht="15.75" customHeight="1" x14ac:dyDescent="0.2">
      <c r="A124" s="21"/>
      <c r="B124" s="44"/>
      <c r="C124" s="28"/>
      <c r="D124" s="39"/>
      <c r="E124" s="45"/>
      <c r="F124" s="28"/>
      <c r="G124" s="31"/>
      <c r="H124" s="39"/>
      <c r="I124" s="21"/>
      <c r="J124" s="21"/>
      <c r="K124" s="21"/>
      <c r="L124" s="21"/>
      <c r="M124" s="21"/>
    </row>
    <row r="125" spans="1:13" ht="15.75" customHeight="1" x14ac:dyDescent="0.2">
      <c r="A125" s="21"/>
      <c r="B125" s="41"/>
      <c r="C125" s="34"/>
      <c r="D125" s="43"/>
      <c r="E125" s="42"/>
      <c r="F125" s="34"/>
      <c r="G125" s="36"/>
      <c r="H125" s="43"/>
      <c r="I125" s="21"/>
      <c r="J125" s="21"/>
      <c r="K125" s="21"/>
      <c r="L125" s="21"/>
      <c r="M125" s="21"/>
    </row>
    <row r="126" spans="1:13" ht="15.75" customHeight="1" x14ac:dyDescent="0.2">
      <c r="A126" s="21"/>
      <c r="B126" s="44"/>
      <c r="C126" s="28"/>
      <c r="D126" s="39"/>
      <c r="E126" s="45"/>
      <c r="F126" s="39"/>
      <c r="G126" s="31"/>
      <c r="H126" s="39"/>
      <c r="I126" s="21"/>
      <c r="J126" s="21"/>
      <c r="K126" s="21"/>
      <c r="L126" s="21"/>
      <c r="M126" s="21"/>
    </row>
    <row r="127" spans="1:13" ht="15.75" customHeight="1" x14ac:dyDescent="0.2">
      <c r="A127" s="21"/>
      <c r="B127" s="41"/>
      <c r="C127" s="34"/>
      <c r="D127" s="43"/>
      <c r="E127" s="42"/>
      <c r="F127" s="43"/>
      <c r="G127" s="36"/>
      <c r="H127" s="43"/>
      <c r="I127" s="21"/>
      <c r="J127" s="21"/>
      <c r="K127" s="21"/>
      <c r="L127" s="21"/>
      <c r="M127" s="21"/>
    </row>
    <row r="128" spans="1:13" ht="15.75" customHeight="1" x14ac:dyDescent="0.2">
      <c r="A128" s="21"/>
      <c r="B128" s="44"/>
      <c r="C128" s="28"/>
      <c r="D128" s="39"/>
      <c r="E128" s="45"/>
      <c r="F128" s="39"/>
      <c r="G128" s="31"/>
      <c r="H128" s="39"/>
      <c r="I128" s="21"/>
      <c r="J128" s="21"/>
      <c r="K128" s="21"/>
      <c r="L128" s="21"/>
      <c r="M128" s="21"/>
    </row>
    <row r="129" spans="1:13" ht="15.75" customHeight="1" x14ac:dyDescent="0.2">
      <c r="A129" s="21"/>
      <c r="B129" s="41"/>
      <c r="C129" s="34"/>
      <c r="D129" s="43"/>
      <c r="E129" s="42"/>
      <c r="F129" s="34"/>
      <c r="G129" s="36"/>
      <c r="H129" s="43"/>
      <c r="I129" s="21"/>
      <c r="J129" s="21"/>
      <c r="K129" s="21"/>
      <c r="L129" s="21"/>
      <c r="M129" s="21"/>
    </row>
    <row r="130" spans="1:13" ht="15.75" customHeight="1" x14ac:dyDescent="0.2">
      <c r="A130" s="21"/>
      <c r="B130" s="44"/>
      <c r="C130" s="28"/>
      <c r="D130" s="39"/>
      <c r="E130" s="45"/>
      <c r="F130" s="28"/>
      <c r="G130" s="31"/>
      <c r="H130" s="39"/>
      <c r="I130" s="21"/>
      <c r="J130" s="21"/>
      <c r="K130" s="21"/>
      <c r="L130" s="21"/>
      <c r="M130" s="21"/>
    </row>
    <row r="131" spans="1:13" ht="15.75" customHeight="1" x14ac:dyDescent="0.2">
      <c r="A131" s="21"/>
      <c r="B131" s="41"/>
      <c r="C131" s="34"/>
      <c r="D131" s="43"/>
      <c r="E131" s="42"/>
      <c r="F131" s="34"/>
      <c r="G131" s="36"/>
      <c r="H131" s="43"/>
      <c r="I131" s="21"/>
      <c r="J131" s="21"/>
      <c r="K131" s="21"/>
      <c r="L131" s="21"/>
      <c r="M131" s="21"/>
    </row>
    <row r="132" spans="1:13" ht="15.75" customHeight="1" x14ac:dyDescent="0.2">
      <c r="A132" s="21"/>
      <c r="B132" s="44"/>
      <c r="C132" s="28"/>
      <c r="D132" s="39"/>
      <c r="E132" s="45"/>
      <c r="F132" s="39"/>
      <c r="G132" s="31"/>
      <c r="H132" s="39"/>
      <c r="I132" s="21"/>
      <c r="J132" s="21"/>
      <c r="K132" s="21"/>
      <c r="L132" s="21"/>
      <c r="M132" s="21"/>
    </row>
    <row r="133" spans="1:13" ht="15.75" customHeight="1" x14ac:dyDescent="0.2">
      <c r="A133" s="21"/>
      <c r="B133" s="41"/>
      <c r="C133" s="34"/>
      <c r="D133" s="43"/>
      <c r="E133" s="42"/>
      <c r="F133" s="43"/>
      <c r="G133" s="36"/>
      <c r="H133" s="43"/>
      <c r="I133" s="21"/>
      <c r="J133" s="21"/>
      <c r="K133" s="21"/>
      <c r="L133" s="21"/>
      <c r="M133" s="21"/>
    </row>
    <row r="134" spans="1:13" ht="15.75" customHeight="1" x14ac:dyDescent="0.2">
      <c r="A134" s="21"/>
      <c r="B134" s="44"/>
      <c r="C134" s="28"/>
      <c r="D134" s="39"/>
      <c r="E134" s="45"/>
      <c r="F134" s="39"/>
      <c r="G134" s="31"/>
      <c r="H134" s="39"/>
      <c r="I134" s="21"/>
      <c r="J134" s="21"/>
      <c r="K134" s="21"/>
      <c r="L134" s="21"/>
      <c r="M134" s="21"/>
    </row>
    <row r="135" spans="1:13" ht="15.75" customHeight="1" x14ac:dyDescent="0.2">
      <c r="A135" s="21"/>
      <c r="B135" s="41"/>
      <c r="C135" s="34"/>
      <c r="D135" s="43"/>
      <c r="E135" s="42"/>
      <c r="F135" s="34"/>
      <c r="G135" s="36"/>
      <c r="H135" s="43"/>
      <c r="I135" s="21"/>
      <c r="J135" s="21"/>
      <c r="K135" s="21"/>
      <c r="L135" s="21"/>
      <c r="M135" s="21"/>
    </row>
    <row r="136" spans="1:13" ht="15.75" customHeight="1" x14ac:dyDescent="0.2">
      <c r="A136" s="21"/>
      <c r="B136" s="44"/>
      <c r="C136" s="28"/>
      <c r="D136" s="39"/>
      <c r="E136" s="45"/>
      <c r="F136" s="28"/>
      <c r="G136" s="31"/>
      <c r="H136" s="39"/>
      <c r="I136" s="21"/>
      <c r="J136" s="21"/>
      <c r="K136" s="21"/>
      <c r="L136" s="21"/>
      <c r="M136" s="21"/>
    </row>
    <row r="137" spans="1:13" ht="15.75" customHeight="1" x14ac:dyDescent="0.2">
      <c r="A137" s="21"/>
      <c r="B137" s="41"/>
      <c r="C137" s="34"/>
      <c r="D137" s="40"/>
      <c r="E137" s="42"/>
      <c r="F137" s="34"/>
      <c r="G137" s="36"/>
      <c r="H137" s="43"/>
      <c r="I137" s="21"/>
      <c r="J137" s="21"/>
      <c r="K137" s="21"/>
      <c r="L137" s="21"/>
      <c r="M137" s="21"/>
    </row>
    <row r="138" spans="1:13" ht="15.75" customHeight="1" x14ac:dyDescent="0.2">
      <c r="A138" s="21"/>
      <c r="B138" s="44"/>
      <c r="C138" s="28"/>
      <c r="D138" s="39"/>
      <c r="E138" s="45"/>
      <c r="F138" s="28"/>
      <c r="G138" s="31"/>
      <c r="H138" s="39"/>
      <c r="I138" s="21"/>
      <c r="J138" s="21"/>
      <c r="K138" s="21"/>
      <c r="L138" s="21"/>
      <c r="M138" s="21"/>
    </row>
    <row r="139" spans="1:13" ht="15.75" customHeight="1" x14ac:dyDescent="0.2">
      <c r="A139" s="21"/>
      <c r="B139" s="41"/>
      <c r="C139" s="34"/>
      <c r="D139" s="43"/>
      <c r="E139" s="42"/>
      <c r="F139" s="34"/>
      <c r="G139" s="36"/>
      <c r="H139" s="43"/>
      <c r="I139" s="21"/>
      <c r="J139" s="21"/>
      <c r="K139" s="21"/>
      <c r="L139" s="21"/>
      <c r="M139" s="21"/>
    </row>
    <row r="140" spans="1:13" ht="15.75" customHeight="1" x14ac:dyDescent="0.2">
      <c r="A140" s="21"/>
      <c r="B140" s="44"/>
      <c r="C140" s="28"/>
      <c r="D140" s="30"/>
      <c r="E140" s="45"/>
      <c r="F140" s="30"/>
      <c r="G140" s="31"/>
      <c r="H140" s="39"/>
      <c r="I140" s="21"/>
      <c r="J140" s="21"/>
      <c r="K140" s="21"/>
      <c r="L140" s="21"/>
      <c r="M140" s="21"/>
    </row>
    <row r="141" spans="1:13" ht="15.75" customHeight="1" x14ac:dyDescent="0.2">
      <c r="A141" s="21"/>
      <c r="B141" s="41"/>
      <c r="C141" s="34"/>
      <c r="D141" s="40"/>
      <c r="E141" s="42"/>
      <c r="F141" s="40"/>
      <c r="G141" s="36"/>
      <c r="H141" s="43"/>
      <c r="I141" s="21"/>
      <c r="J141" s="21"/>
      <c r="K141" s="21"/>
      <c r="L141" s="21"/>
      <c r="M141" s="21"/>
    </row>
    <row r="142" spans="1:13" ht="15.75" customHeight="1" x14ac:dyDescent="0.2">
      <c r="A142" s="21"/>
      <c r="B142" s="44"/>
      <c r="C142" s="28"/>
      <c r="D142" s="30"/>
      <c r="E142" s="45"/>
      <c r="F142" s="30"/>
      <c r="G142" s="31"/>
      <c r="H142" s="39"/>
      <c r="I142" s="21"/>
      <c r="J142" s="21"/>
      <c r="K142" s="21"/>
      <c r="L142" s="21"/>
      <c r="M142" s="21"/>
    </row>
    <row r="143" spans="1:13" ht="15.75" customHeight="1" x14ac:dyDescent="0.2">
      <c r="A143" s="21"/>
      <c r="B143" s="41"/>
      <c r="C143" s="34"/>
      <c r="D143" s="43"/>
      <c r="E143" s="42"/>
      <c r="F143" s="40"/>
      <c r="G143" s="36"/>
      <c r="H143" s="43"/>
      <c r="I143" s="21"/>
      <c r="J143" s="21"/>
      <c r="K143" s="21"/>
      <c r="L143" s="21"/>
      <c r="M143" s="21"/>
    </row>
    <row r="144" spans="1:13" ht="15.75" customHeight="1" x14ac:dyDescent="0.2">
      <c r="A144" s="21"/>
      <c r="B144" s="44"/>
      <c r="C144" s="28"/>
      <c r="D144" s="39"/>
      <c r="E144" s="45"/>
      <c r="F144" s="39"/>
      <c r="G144" s="31"/>
      <c r="H144" s="39"/>
      <c r="I144" s="21"/>
      <c r="J144" s="21"/>
      <c r="K144" s="21"/>
      <c r="L144" s="21"/>
      <c r="M144" s="21"/>
    </row>
    <row r="145" spans="1:13" ht="15.75" customHeight="1" x14ac:dyDescent="0.2">
      <c r="A145" s="21"/>
      <c r="B145" s="41"/>
      <c r="C145" s="34"/>
      <c r="D145" s="43"/>
      <c r="E145" s="42"/>
      <c r="F145" s="34"/>
      <c r="G145" s="36"/>
      <c r="H145" s="43"/>
      <c r="I145" s="21"/>
      <c r="J145" s="21"/>
      <c r="K145" s="21"/>
      <c r="L145" s="21"/>
      <c r="M145" s="21"/>
    </row>
    <row r="146" spans="1:13" ht="15.75" customHeight="1" x14ac:dyDescent="0.2">
      <c r="A146" s="21"/>
      <c r="B146" s="44"/>
      <c r="C146" s="28"/>
      <c r="D146" s="39"/>
      <c r="E146" s="45"/>
      <c r="F146" s="28"/>
      <c r="G146" s="31"/>
      <c r="H146" s="39"/>
      <c r="I146" s="21"/>
      <c r="J146" s="21"/>
      <c r="K146" s="21"/>
      <c r="L146" s="21"/>
      <c r="M146" s="21"/>
    </row>
    <row r="147" spans="1:13" ht="15.75" customHeight="1" x14ac:dyDescent="0.2">
      <c r="A147" s="21"/>
      <c r="B147" s="41"/>
      <c r="C147" s="34"/>
      <c r="D147" s="43"/>
      <c r="E147" s="42"/>
      <c r="F147" s="43"/>
      <c r="G147" s="36"/>
      <c r="H147" s="43"/>
      <c r="I147" s="21"/>
      <c r="J147" s="21"/>
      <c r="K147" s="21"/>
      <c r="L147" s="21"/>
      <c r="M147" s="21"/>
    </row>
    <row r="148" spans="1:13" ht="15.75" customHeight="1" x14ac:dyDescent="0.2">
      <c r="A148" s="21"/>
      <c r="B148" s="44"/>
      <c r="C148" s="28"/>
      <c r="D148" s="39"/>
      <c r="E148" s="45"/>
      <c r="F148" s="30"/>
      <c r="G148" s="31"/>
      <c r="H148" s="39"/>
      <c r="I148" s="21"/>
      <c r="J148" s="21"/>
      <c r="K148" s="21"/>
      <c r="L148" s="21"/>
      <c r="M148" s="21"/>
    </row>
    <row r="149" spans="1:13" ht="15.75" customHeight="1" x14ac:dyDescent="0.2">
      <c r="A149" s="21"/>
      <c r="B149" s="41"/>
      <c r="C149" s="34"/>
      <c r="D149" s="47"/>
      <c r="E149" s="42"/>
      <c r="F149" s="43"/>
      <c r="G149" s="36"/>
      <c r="H149" s="43"/>
      <c r="I149" s="21"/>
      <c r="J149" s="21"/>
      <c r="K149" s="21"/>
      <c r="L149" s="21"/>
      <c r="M149" s="21"/>
    </row>
    <row r="150" spans="1:13" ht="15.75" customHeight="1" x14ac:dyDescent="0.2">
      <c r="A150" s="21"/>
      <c r="B150" s="44"/>
      <c r="C150" s="28"/>
      <c r="D150" s="39"/>
      <c r="E150" s="45"/>
      <c r="F150" s="28"/>
      <c r="G150" s="31"/>
      <c r="H150" s="39"/>
      <c r="I150" s="21"/>
      <c r="J150" s="21"/>
      <c r="K150" s="21"/>
      <c r="L150" s="21"/>
      <c r="M150" s="21"/>
    </row>
    <row r="151" spans="1:13" ht="15.75" customHeight="1" x14ac:dyDescent="0.2">
      <c r="A151" s="21"/>
      <c r="B151" s="41"/>
      <c r="C151" s="34"/>
      <c r="D151" s="43"/>
      <c r="E151" s="42"/>
      <c r="F151" s="43"/>
      <c r="G151" s="36"/>
      <c r="H151" s="43"/>
      <c r="I151" s="21"/>
      <c r="J151" s="21"/>
      <c r="K151" s="21"/>
      <c r="L151" s="21"/>
      <c r="M151" s="21"/>
    </row>
    <row r="152" spans="1:13" ht="15.75" customHeight="1" x14ac:dyDescent="0.2">
      <c r="A152" s="21"/>
      <c r="B152" s="44"/>
      <c r="C152" s="28"/>
      <c r="D152" s="39"/>
      <c r="E152" s="45"/>
      <c r="F152" s="28"/>
      <c r="G152" s="31"/>
      <c r="H152" s="39"/>
      <c r="I152" s="21"/>
      <c r="J152" s="21"/>
      <c r="K152" s="21"/>
      <c r="L152" s="21"/>
      <c r="M152" s="21"/>
    </row>
    <row r="153" spans="1:13" ht="15.75" customHeight="1" x14ac:dyDescent="0.2">
      <c r="A153" s="21"/>
      <c r="B153" s="41"/>
      <c r="C153" s="34"/>
      <c r="D153" s="43"/>
      <c r="E153" s="42"/>
      <c r="F153" s="43"/>
      <c r="G153" s="36"/>
      <c r="H153" s="43"/>
      <c r="I153" s="21"/>
      <c r="J153" s="21"/>
      <c r="K153" s="21"/>
      <c r="L153" s="21"/>
      <c r="M153" s="21"/>
    </row>
    <row r="154" spans="1:13" ht="15.75" customHeight="1" x14ac:dyDescent="0.2">
      <c r="A154" s="21"/>
      <c r="B154" s="44"/>
      <c r="C154" s="28"/>
      <c r="D154" s="39"/>
      <c r="E154" s="45"/>
      <c r="F154" s="39"/>
      <c r="G154" s="31"/>
      <c r="H154" s="39"/>
      <c r="I154" s="21"/>
      <c r="J154" s="21"/>
      <c r="K154" s="21"/>
      <c r="L154" s="21"/>
      <c r="M154" s="21"/>
    </row>
    <row r="155" spans="1:13" ht="15.75" customHeight="1" x14ac:dyDescent="0.2">
      <c r="A155" s="21"/>
      <c r="B155" s="41"/>
      <c r="C155" s="34"/>
      <c r="D155" s="43"/>
      <c r="E155" s="42"/>
      <c r="F155" s="40"/>
      <c r="G155" s="36"/>
      <c r="H155" s="43"/>
      <c r="I155" s="21"/>
      <c r="J155" s="21"/>
      <c r="K155" s="21"/>
      <c r="L155" s="21"/>
      <c r="M155" s="21"/>
    </row>
    <row r="156" spans="1:13" ht="15.75" customHeight="1" x14ac:dyDescent="0.2">
      <c r="A156" s="21"/>
      <c r="B156" s="44"/>
      <c r="C156" s="28"/>
      <c r="D156" s="39"/>
      <c r="E156" s="45"/>
      <c r="F156" s="28"/>
      <c r="G156" s="31"/>
      <c r="H156" s="39"/>
      <c r="I156" s="21"/>
      <c r="J156" s="21"/>
      <c r="K156" s="21"/>
      <c r="L156" s="21"/>
      <c r="M156" s="21"/>
    </row>
    <row r="157" spans="1:13" ht="15.75" customHeight="1" x14ac:dyDescent="0.2">
      <c r="A157" s="21"/>
      <c r="B157" s="41"/>
      <c r="C157" s="34"/>
      <c r="D157" s="43"/>
      <c r="E157" s="42"/>
      <c r="F157" s="34"/>
      <c r="G157" s="36"/>
      <c r="H157" s="43"/>
      <c r="I157" s="21"/>
      <c r="J157" s="21"/>
      <c r="K157" s="21"/>
      <c r="L157" s="21"/>
      <c r="M157" s="21"/>
    </row>
    <row r="158" spans="1:13" ht="15.75" customHeight="1" x14ac:dyDescent="0.2">
      <c r="A158" s="21"/>
      <c r="B158" s="44"/>
      <c r="C158" s="28"/>
      <c r="D158" s="39"/>
      <c r="E158" s="45"/>
      <c r="F158" s="30"/>
      <c r="G158" s="31"/>
      <c r="H158" s="39"/>
      <c r="I158" s="21"/>
      <c r="J158" s="21"/>
      <c r="K158" s="21"/>
      <c r="L158" s="21"/>
      <c r="M158" s="21"/>
    </row>
    <row r="159" spans="1:13" ht="15.75" customHeight="1" x14ac:dyDescent="0.2">
      <c r="A159" s="21"/>
      <c r="B159" s="41"/>
      <c r="C159" s="34"/>
      <c r="D159" s="43"/>
      <c r="E159" s="42"/>
      <c r="F159" s="40"/>
      <c r="G159" s="36"/>
      <c r="H159" s="43"/>
      <c r="I159" s="21"/>
      <c r="J159" s="21"/>
      <c r="K159" s="21"/>
      <c r="L159" s="21"/>
      <c r="M159" s="21"/>
    </row>
    <row r="160" spans="1:13" ht="15.75" customHeight="1" x14ac:dyDescent="0.2">
      <c r="A160" s="21"/>
      <c r="B160" s="44"/>
      <c r="C160" s="28"/>
      <c r="D160" s="39"/>
      <c r="E160" s="45"/>
      <c r="F160" s="39"/>
      <c r="G160" s="31"/>
      <c r="H160" s="39"/>
      <c r="I160" s="21"/>
      <c r="J160" s="21"/>
      <c r="K160" s="21"/>
      <c r="L160" s="21"/>
      <c r="M160" s="21"/>
    </row>
    <row r="161" spans="1:13" ht="15.75" customHeight="1" x14ac:dyDescent="0.2">
      <c r="A161" s="21"/>
      <c r="B161" s="41"/>
      <c r="C161" s="34"/>
      <c r="D161" s="43"/>
      <c r="E161" s="42"/>
      <c r="F161" s="34"/>
      <c r="G161" s="36"/>
      <c r="H161" s="43"/>
      <c r="I161" s="21"/>
      <c r="J161" s="21"/>
      <c r="K161" s="21"/>
      <c r="L161" s="21"/>
      <c r="M161" s="21"/>
    </row>
    <row r="162" spans="1:13" ht="15.75" customHeight="1" x14ac:dyDescent="0.2">
      <c r="A162" s="21"/>
      <c r="B162" s="44"/>
      <c r="C162" s="28"/>
      <c r="D162" s="30"/>
      <c r="E162" s="45"/>
      <c r="F162" s="39"/>
      <c r="G162" s="31"/>
      <c r="H162" s="39"/>
      <c r="I162" s="21"/>
      <c r="J162" s="21"/>
      <c r="K162" s="21"/>
      <c r="L162" s="21"/>
      <c r="M162" s="21"/>
    </row>
    <row r="163" spans="1:13" ht="15.75" customHeight="1" x14ac:dyDescent="0.2">
      <c r="A163" s="21"/>
      <c r="B163" s="41"/>
      <c r="C163" s="34"/>
      <c r="D163" s="40"/>
      <c r="E163" s="42"/>
      <c r="F163" s="34"/>
      <c r="G163" s="36"/>
      <c r="H163" s="43"/>
      <c r="I163" s="21"/>
      <c r="J163" s="21"/>
      <c r="K163" s="21"/>
      <c r="L163" s="21"/>
      <c r="M163" s="21"/>
    </row>
    <row r="164" spans="1:13" ht="15.75" customHeight="1" x14ac:dyDescent="0.2">
      <c r="A164" s="21"/>
      <c r="B164" s="44"/>
      <c r="C164" s="28"/>
      <c r="D164" s="30"/>
      <c r="E164" s="45"/>
      <c r="F164" s="28"/>
      <c r="G164" s="31"/>
      <c r="H164" s="39"/>
      <c r="I164" s="21"/>
      <c r="J164" s="21"/>
      <c r="K164" s="21"/>
      <c r="L164" s="21"/>
      <c r="M164" s="21"/>
    </row>
    <row r="165" spans="1:13" ht="15.75" customHeight="1" x14ac:dyDescent="0.2">
      <c r="A165" s="21"/>
      <c r="B165" s="41"/>
      <c r="C165" s="34"/>
      <c r="D165" s="40"/>
      <c r="E165" s="42"/>
      <c r="F165" s="40"/>
      <c r="G165" s="36"/>
      <c r="H165" s="43"/>
      <c r="I165" s="21"/>
      <c r="J165" s="21"/>
      <c r="K165" s="21"/>
      <c r="L165" s="21"/>
      <c r="M165" s="21"/>
    </row>
    <row r="166" spans="1:13" ht="15.75" customHeight="1" x14ac:dyDescent="0.2">
      <c r="A166" s="21"/>
      <c r="B166" s="44"/>
      <c r="C166" s="28"/>
      <c r="D166" s="30"/>
      <c r="E166" s="45"/>
      <c r="F166" s="30"/>
      <c r="G166" s="31"/>
      <c r="H166" s="30"/>
      <c r="I166" s="21"/>
      <c r="J166" s="21"/>
      <c r="K166" s="21"/>
      <c r="L166" s="21"/>
      <c r="M166" s="21"/>
    </row>
    <row r="167" spans="1:13" ht="15.75" customHeight="1" x14ac:dyDescent="0.2">
      <c r="A167" s="21"/>
      <c r="B167" s="41"/>
      <c r="C167" s="34"/>
      <c r="D167" s="40"/>
      <c r="E167" s="42"/>
      <c r="F167" s="40"/>
      <c r="G167" s="36"/>
      <c r="H167" s="40"/>
      <c r="I167" s="21"/>
      <c r="J167" s="21"/>
      <c r="K167" s="21"/>
      <c r="L167" s="21"/>
      <c r="M167" s="21"/>
    </row>
    <row r="168" spans="1:13" ht="15.75" customHeight="1" x14ac:dyDescent="0.2">
      <c r="A168" s="21"/>
      <c r="B168" s="44"/>
      <c r="C168" s="28"/>
      <c r="D168" s="39"/>
      <c r="E168" s="45"/>
      <c r="F168" s="39"/>
      <c r="G168" s="31"/>
      <c r="H168" s="39"/>
      <c r="I168" s="21"/>
      <c r="J168" s="21"/>
      <c r="K168" s="21"/>
      <c r="L168" s="21"/>
      <c r="M168" s="21"/>
    </row>
    <row r="169" spans="1:13" ht="15.75" customHeight="1" x14ac:dyDescent="0.2">
      <c r="A169" s="21"/>
      <c r="B169" s="41"/>
      <c r="C169" s="34"/>
      <c r="D169" s="43"/>
      <c r="E169" s="42"/>
      <c r="F169" s="43"/>
      <c r="G169" s="36"/>
      <c r="H169" s="43"/>
      <c r="I169" s="21"/>
      <c r="J169" s="21"/>
      <c r="K169" s="21"/>
      <c r="L169" s="21"/>
      <c r="M169" s="21"/>
    </row>
    <row r="170" spans="1:13" ht="15.75" customHeight="1" x14ac:dyDescent="0.2">
      <c r="A170" s="21"/>
      <c r="B170" s="44"/>
      <c r="C170" s="28"/>
      <c r="D170" s="39"/>
      <c r="E170" s="45"/>
      <c r="F170" s="28"/>
      <c r="G170" s="31"/>
      <c r="H170" s="39"/>
      <c r="I170" s="21"/>
      <c r="J170" s="21"/>
      <c r="K170" s="21"/>
      <c r="L170" s="21"/>
      <c r="M170" s="21"/>
    </row>
    <row r="171" spans="1:13" ht="15.75" customHeight="1" x14ac:dyDescent="0.2">
      <c r="A171" s="21"/>
      <c r="B171" s="41"/>
      <c r="C171" s="34"/>
      <c r="D171" s="43"/>
      <c r="E171" s="42"/>
      <c r="F171" s="40"/>
      <c r="G171" s="36"/>
      <c r="H171" s="43"/>
      <c r="I171" s="21"/>
      <c r="J171" s="21"/>
      <c r="K171" s="21"/>
      <c r="L171" s="21"/>
      <c r="M171" s="21"/>
    </row>
    <row r="172" spans="1:13" ht="15.75" customHeight="1" x14ac:dyDescent="0.2">
      <c r="A172" s="21"/>
      <c r="B172" s="44"/>
      <c r="C172" s="28"/>
      <c r="D172" s="39"/>
      <c r="E172" s="45"/>
      <c r="F172" s="28"/>
      <c r="G172" s="31"/>
      <c r="H172" s="39"/>
      <c r="I172" s="21"/>
      <c r="J172" s="21"/>
      <c r="K172" s="21"/>
      <c r="L172" s="21"/>
      <c r="M172" s="21"/>
    </row>
    <row r="173" spans="1:13" ht="15.75" customHeight="1" x14ac:dyDescent="0.2">
      <c r="A173" s="21"/>
      <c r="B173" s="41"/>
      <c r="C173" s="34"/>
      <c r="D173" s="43"/>
      <c r="E173" s="42"/>
      <c r="F173" s="40"/>
      <c r="G173" s="36"/>
      <c r="H173" s="43"/>
      <c r="I173" s="21"/>
      <c r="J173" s="21"/>
      <c r="K173" s="21"/>
      <c r="L173" s="21"/>
      <c r="M173" s="21"/>
    </row>
    <row r="174" spans="1:13" ht="15.75" customHeight="1" x14ac:dyDescent="0.2">
      <c r="A174" s="21"/>
      <c r="B174" s="44"/>
      <c r="C174" s="28"/>
      <c r="D174" s="39"/>
      <c r="E174" s="45"/>
      <c r="F174" s="39"/>
      <c r="G174" s="31"/>
      <c r="H174" s="39"/>
      <c r="I174" s="21"/>
      <c r="J174" s="21"/>
      <c r="K174" s="21"/>
      <c r="L174" s="21"/>
      <c r="M174" s="21"/>
    </row>
    <row r="175" spans="1:13" ht="15.75" customHeight="1" x14ac:dyDescent="0.2">
      <c r="A175" s="21"/>
      <c r="B175" s="41"/>
      <c r="C175" s="34"/>
      <c r="D175" s="40"/>
      <c r="E175" s="42"/>
      <c r="F175" s="43"/>
      <c r="G175" s="36"/>
      <c r="H175" s="40"/>
      <c r="I175" s="21"/>
      <c r="J175" s="21"/>
      <c r="K175" s="21"/>
      <c r="L175" s="21"/>
      <c r="M175" s="21"/>
    </row>
    <row r="176" spans="1:13" ht="15.75" customHeight="1" x14ac:dyDescent="0.2">
      <c r="A176" s="21"/>
      <c r="B176" s="44"/>
      <c r="C176" s="28"/>
      <c r="D176" s="39"/>
      <c r="E176" s="45"/>
      <c r="F176" s="28"/>
      <c r="G176" s="31"/>
      <c r="H176" s="39"/>
      <c r="I176" s="21"/>
      <c r="J176" s="21"/>
      <c r="K176" s="21"/>
      <c r="L176" s="21"/>
      <c r="M176" s="21"/>
    </row>
    <row r="177" spans="1:13" ht="15.75" customHeight="1" x14ac:dyDescent="0.2">
      <c r="A177" s="21"/>
      <c r="B177" s="48"/>
      <c r="C177" s="34"/>
      <c r="D177" s="49"/>
      <c r="E177" s="50"/>
      <c r="F177" s="49"/>
      <c r="G177" s="51"/>
      <c r="H177" s="49"/>
      <c r="I177" s="21"/>
      <c r="J177" s="21"/>
      <c r="K177" s="21"/>
      <c r="L177" s="21"/>
      <c r="M177" s="21"/>
    </row>
    <row r="178" spans="1:13" ht="15.75" customHeight="1" x14ac:dyDescent="0.2">
      <c r="A178" s="21"/>
      <c r="B178" s="44"/>
      <c r="C178" s="28"/>
      <c r="D178" s="39"/>
      <c r="E178" s="45"/>
      <c r="F178" s="28"/>
      <c r="G178" s="31"/>
      <c r="H178" s="39"/>
      <c r="I178" s="21"/>
      <c r="J178" s="21"/>
      <c r="K178" s="21"/>
      <c r="L178" s="21"/>
      <c r="M178" s="21"/>
    </row>
    <row r="179" spans="1:13" ht="15.75" customHeight="1" x14ac:dyDescent="0.2">
      <c r="A179" s="21"/>
      <c r="B179" s="41"/>
      <c r="C179" s="34"/>
      <c r="D179" s="43"/>
      <c r="E179" s="42"/>
      <c r="F179" s="34"/>
      <c r="G179" s="36"/>
      <c r="H179" s="43"/>
      <c r="I179" s="21"/>
      <c r="J179" s="21"/>
      <c r="K179" s="21"/>
      <c r="L179" s="21"/>
      <c r="M179" s="21"/>
    </row>
    <row r="180" spans="1:13" ht="15.75" customHeight="1" x14ac:dyDescent="0.2">
      <c r="A180" s="21"/>
      <c r="B180" s="44"/>
      <c r="C180" s="28"/>
      <c r="D180" s="39"/>
      <c r="E180" s="45"/>
      <c r="F180" s="30"/>
      <c r="G180" s="31"/>
      <c r="H180" s="39"/>
      <c r="I180" s="21"/>
      <c r="J180" s="21"/>
      <c r="K180" s="21"/>
      <c r="L180" s="21"/>
      <c r="M180" s="21"/>
    </row>
    <row r="181" spans="1:13" ht="15.75" customHeight="1" x14ac:dyDescent="0.2">
      <c r="A181" s="21"/>
      <c r="B181" s="41"/>
      <c r="C181" s="34"/>
      <c r="D181" s="43"/>
      <c r="E181" s="42"/>
      <c r="F181" s="43"/>
      <c r="G181" s="36"/>
      <c r="H181" s="43"/>
      <c r="I181" s="21"/>
      <c r="J181" s="21"/>
      <c r="K181" s="21"/>
      <c r="L181" s="21"/>
      <c r="M181" s="21"/>
    </row>
    <row r="182" spans="1:13" ht="15.75" customHeight="1" x14ac:dyDescent="0.2">
      <c r="A182" s="21"/>
      <c r="B182" s="44"/>
      <c r="C182" s="28"/>
      <c r="D182" s="39"/>
      <c r="E182" s="45"/>
      <c r="F182" s="39"/>
      <c r="G182" s="31"/>
      <c r="H182" s="39"/>
      <c r="I182" s="21"/>
      <c r="J182" s="21"/>
      <c r="K182" s="21"/>
      <c r="L182" s="21"/>
      <c r="M182" s="21"/>
    </row>
    <row r="183" spans="1:13" ht="15.75" customHeight="1" x14ac:dyDescent="0.2">
      <c r="A183" s="21"/>
      <c r="B183" s="41"/>
      <c r="C183" s="34"/>
      <c r="D183" s="43"/>
      <c r="E183" s="42"/>
      <c r="F183" s="40"/>
      <c r="G183" s="36"/>
      <c r="H183" s="43"/>
      <c r="I183" s="21"/>
      <c r="J183" s="21"/>
      <c r="K183" s="21"/>
      <c r="L183" s="21"/>
      <c r="M183" s="21"/>
    </row>
    <row r="184" spans="1:13" ht="15.75" customHeight="1" x14ac:dyDescent="0.2">
      <c r="A184" s="21"/>
      <c r="B184" s="44"/>
      <c r="C184" s="28"/>
      <c r="D184" s="39"/>
      <c r="E184" s="45"/>
      <c r="F184" s="30"/>
      <c r="G184" s="31"/>
      <c r="H184" s="39"/>
      <c r="I184" s="21"/>
      <c r="J184" s="21"/>
      <c r="K184" s="21"/>
      <c r="L184" s="21"/>
      <c r="M184" s="21"/>
    </row>
    <row r="185" spans="1:13" ht="15.75" customHeight="1" x14ac:dyDescent="0.2">
      <c r="A185" s="21"/>
      <c r="B185" s="41"/>
      <c r="C185" s="34"/>
      <c r="D185" s="43"/>
      <c r="E185" s="42"/>
      <c r="F185" s="40"/>
      <c r="G185" s="36"/>
      <c r="H185" s="43"/>
      <c r="I185" s="21"/>
      <c r="J185" s="21"/>
      <c r="K185" s="21"/>
      <c r="L185" s="21"/>
      <c r="M185" s="21"/>
    </row>
    <row r="186" spans="1:13" ht="15.75" customHeight="1" x14ac:dyDescent="0.2">
      <c r="A186" s="21"/>
      <c r="B186" s="44"/>
      <c r="C186" s="28"/>
      <c r="D186" s="39"/>
      <c r="E186" s="45"/>
      <c r="F186" s="39"/>
      <c r="G186" s="31"/>
      <c r="H186" s="39"/>
      <c r="I186" s="21"/>
      <c r="J186" s="21"/>
      <c r="K186" s="21"/>
      <c r="L186" s="21"/>
      <c r="M186" s="21"/>
    </row>
    <row r="187" spans="1:13" ht="15.75" customHeight="1" x14ac:dyDescent="0.2">
      <c r="A187" s="21"/>
      <c r="B187" s="41"/>
      <c r="C187" s="34"/>
      <c r="D187" s="43"/>
      <c r="E187" s="42"/>
      <c r="F187" s="43"/>
      <c r="G187" s="36"/>
      <c r="H187" s="43"/>
      <c r="I187" s="21"/>
      <c r="J187" s="21"/>
      <c r="K187" s="21"/>
      <c r="L187" s="21"/>
      <c r="M187" s="21"/>
    </row>
    <row r="188" spans="1:13" ht="15.75" customHeight="1" x14ac:dyDescent="0.2">
      <c r="A188" s="21"/>
      <c r="B188" s="44"/>
      <c r="C188" s="28"/>
      <c r="D188" s="39"/>
      <c r="E188" s="45"/>
      <c r="F188" s="39"/>
      <c r="G188" s="31"/>
      <c r="H188" s="39"/>
      <c r="I188" s="21"/>
      <c r="J188" s="21"/>
      <c r="K188" s="21"/>
      <c r="L188" s="21"/>
      <c r="M188" s="21"/>
    </row>
    <row r="189" spans="1:13" ht="15.75" customHeight="1" x14ac:dyDescent="0.2">
      <c r="A189" s="21"/>
      <c r="B189" s="41"/>
      <c r="C189" s="34"/>
      <c r="D189" s="43"/>
      <c r="E189" s="42"/>
      <c r="F189" s="43"/>
      <c r="G189" s="36"/>
      <c r="H189" s="43"/>
      <c r="I189" s="21"/>
      <c r="J189" s="21"/>
      <c r="K189" s="21"/>
      <c r="L189" s="21"/>
      <c r="M189" s="21"/>
    </row>
    <row r="190" spans="1:13" ht="15.75" customHeight="1" x14ac:dyDescent="0.2">
      <c r="A190" s="21"/>
      <c r="B190" s="44"/>
      <c r="C190" s="28"/>
      <c r="D190" s="39"/>
      <c r="E190" s="45"/>
      <c r="F190" s="30"/>
      <c r="G190" s="31"/>
      <c r="H190" s="39"/>
      <c r="I190" s="21"/>
      <c r="J190" s="21"/>
      <c r="K190" s="21"/>
      <c r="L190" s="21"/>
      <c r="M190" s="21"/>
    </row>
    <row r="191" spans="1:13" ht="15.75" customHeight="1" x14ac:dyDescent="0.2">
      <c r="A191" s="21"/>
      <c r="B191" s="41"/>
      <c r="C191" s="34"/>
      <c r="D191" s="47"/>
      <c r="E191" s="42"/>
      <c r="F191" s="43"/>
      <c r="G191" s="36"/>
      <c r="H191" s="43"/>
      <c r="I191" s="21"/>
      <c r="J191" s="21"/>
      <c r="K191" s="21"/>
      <c r="L191" s="21"/>
      <c r="M191" s="21"/>
    </row>
    <row r="192" spans="1:13" ht="15.75" customHeight="1" x14ac:dyDescent="0.2">
      <c r="A192" s="21"/>
      <c r="B192" s="44"/>
      <c r="C192" s="28"/>
      <c r="D192" s="39"/>
      <c r="E192" s="45"/>
      <c r="F192" s="28"/>
      <c r="G192" s="31"/>
      <c r="H192" s="39"/>
      <c r="I192" s="21"/>
      <c r="J192" s="21"/>
      <c r="K192" s="21"/>
      <c r="L192" s="21"/>
      <c r="M192" s="21"/>
    </row>
    <row r="193" spans="1:13" ht="15.75" customHeight="1" x14ac:dyDescent="0.2">
      <c r="A193" s="21"/>
      <c r="B193" s="41"/>
      <c r="C193" s="34"/>
      <c r="D193" s="43"/>
      <c r="E193" s="42"/>
      <c r="F193" s="34"/>
      <c r="G193" s="36"/>
      <c r="H193" s="43"/>
      <c r="I193" s="21"/>
      <c r="J193" s="21"/>
      <c r="K193" s="21"/>
      <c r="L193" s="21"/>
      <c r="M193" s="21"/>
    </row>
    <row r="194" spans="1:13" ht="15.75" customHeight="1" x14ac:dyDescent="0.2">
      <c r="A194" s="21"/>
      <c r="B194" s="44"/>
      <c r="C194" s="28"/>
      <c r="D194" s="39"/>
      <c r="E194" s="45"/>
      <c r="F194" s="39"/>
      <c r="G194" s="31"/>
      <c r="H194" s="39"/>
      <c r="I194" s="21"/>
      <c r="J194" s="21"/>
      <c r="K194" s="21"/>
      <c r="L194" s="21"/>
      <c r="M194" s="21"/>
    </row>
    <row r="195" spans="1:13" ht="15.75" customHeight="1" x14ac:dyDescent="0.2">
      <c r="A195" s="21"/>
      <c r="B195" s="41"/>
      <c r="C195" s="34"/>
      <c r="D195" s="43"/>
      <c r="E195" s="42"/>
      <c r="F195" s="34"/>
      <c r="G195" s="36"/>
      <c r="H195" s="43"/>
      <c r="I195" s="21"/>
      <c r="J195" s="21"/>
      <c r="K195" s="21"/>
      <c r="L195" s="21"/>
      <c r="M195" s="21"/>
    </row>
    <row r="196" spans="1:13" ht="15.75" customHeight="1" x14ac:dyDescent="0.2">
      <c r="A196" s="21"/>
      <c r="B196" s="44"/>
      <c r="C196" s="28"/>
      <c r="D196" s="30"/>
      <c r="E196" s="45"/>
      <c r="F196" s="39"/>
      <c r="G196" s="31"/>
      <c r="H196" s="39"/>
      <c r="I196" s="21"/>
      <c r="J196" s="21"/>
      <c r="K196" s="21"/>
      <c r="L196" s="21"/>
      <c r="M196" s="21"/>
    </row>
    <row r="197" spans="1:13" ht="15.75" customHeight="1" x14ac:dyDescent="0.2">
      <c r="A197" s="21"/>
      <c r="B197" s="41"/>
      <c r="C197" s="34"/>
      <c r="D197" s="43"/>
      <c r="E197" s="42"/>
      <c r="F197" s="40"/>
      <c r="G197" s="36"/>
      <c r="H197" s="43"/>
      <c r="I197" s="21"/>
      <c r="J197" s="21"/>
      <c r="K197" s="21"/>
      <c r="L197" s="21"/>
      <c r="M197" s="21"/>
    </row>
    <row r="198" spans="1:13" ht="15.75" customHeight="1" x14ac:dyDescent="0.2">
      <c r="A198" s="21"/>
      <c r="B198" s="44"/>
      <c r="C198" s="28"/>
      <c r="D198" s="30"/>
      <c r="E198" s="45"/>
      <c r="F198" s="30"/>
      <c r="G198" s="31"/>
      <c r="H198" s="39"/>
      <c r="I198" s="21"/>
      <c r="J198" s="21"/>
      <c r="K198" s="21"/>
      <c r="L198" s="21"/>
      <c r="M198" s="21"/>
    </row>
    <row r="199" spans="1:13" ht="15.75" customHeight="1" x14ac:dyDescent="0.2">
      <c r="A199" s="21"/>
      <c r="B199" s="41"/>
      <c r="C199" s="34"/>
      <c r="D199" s="40"/>
      <c r="E199" s="42"/>
      <c r="F199" s="40"/>
      <c r="G199" s="36"/>
      <c r="H199" s="40"/>
      <c r="I199" s="21"/>
      <c r="J199" s="21"/>
      <c r="K199" s="21"/>
      <c r="L199" s="21"/>
      <c r="M199" s="21"/>
    </row>
    <row r="200" spans="1:13" ht="15.75" customHeight="1" x14ac:dyDescent="0.2">
      <c r="A200" s="21"/>
      <c r="B200" s="44"/>
      <c r="C200" s="28"/>
      <c r="D200" s="30"/>
      <c r="E200" s="45"/>
      <c r="F200" s="30"/>
      <c r="G200" s="31"/>
      <c r="H200" s="30"/>
      <c r="I200" s="21"/>
      <c r="J200" s="21"/>
      <c r="K200" s="21"/>
      <c r="L200" s="21"/>
      <c r="M200" s="21"/>
    </row>
    <row r="201" spans="1:13" ht="15.75" customHeight="1" x14ac:dyDescent="0.2">
      <c r="A201" s="21"/>
      <c r="B201" s="41"/>
      <c r="C201" s="34"/>
      <c r="D201" s="43"/>
      <c r="E201" s="42"/>
      <c r="F201" s="34"/>
      <c r="G201" s="36"/>
      <c r="H201" s="43"/>
      <c r="I201" s="21"/>
      <c r="J201" s="21"/>
      <c r="K201" s="21"/>
      <c r="L201" s="21"/>
      <c r="M201" s="21"/>
    </row>
    <row r="202" spans="1:13" ht="15.75" customHeight="1" x14ac:dyDescent="0.2">
      <c r="A202" s="21"/>
      <c r="B202" s="44"/>
      <c r="C202" s="28"/>
      <c r="D202" s="30"/>
      <c r="E202" s="45"/>
      <c r="F202" s="30"/>
      <c r="G202" s="31"/>
      <c r="H202" s="39"/>
      <c r="I202" s="21"/>
      <c r="J202" s="21"/>
      <c r="K202" s="21"/>
      <c r="L202" s="21"/>
      <c r="M202" s="21"/>
    </row>
    <row r="203" spans="1:13" ht="15.75" customHeight="1" x14ac:dyDescent="0.2">
      <c r="A203" s="21"/>
      <c r="B203" s="41"/>
      <c r="C203" s="34"/>
      <c r="D203" s="43"/>
      <c r="E203" s="42"/>
      <c r="F203" s="43"/>
      <c r="G203" s="36"/>
      <c r="H203" s="43"/>
      <c r="I203" s="21"/>
      <c r="J203" s="21"/>
      <c r="K203" s="21"/>
      <c r="L203" s="21"/>
      <c r="M203" s="21"/>
    </row>
    <row r="204" spans="1:13" ht="15.75" customHeight="1" x14ac:dyDescent="0.2">
      <c r="A204" s="21"/>
      <c r="B204" s="44"/>
      <c r="C204" s="28"/>
      <c r="D204" s="39"/>
      <c r="E204" s="45"/>
      <c r="F204" s="39"/>
      <c r="G204" s="31"/>
      <c r="H204" s="39"/>
      <c r="I204" s="21"/>
      <c r="J204" s="21"/>
      <c r="K204" s="21"/>
      <c r="L204" s="21"/>
      <c r="M204" s="21"/>
    </row>
    <row r="205" spans="1:13" ht="15.75" customHeight="1" x14ac:dyDescent="0.2">
      <c r="A205" s="21"/>
      <c r="B205" s="41"/>
      <c r="C205" s="34"/>
      <c r="D205" s="43"/>
      <c r="E205" s="42"/>
      <c r="F205" s="34"/>
      <c r="G205" s="36"/>
      <c r="H205" s="43"/>
      <c r="I205" s="21"/>
      <c r="J205" s="21"/>
      <c r="K205" s="21"/>
      <c r="L205" s="21"/>
      <c r="M205" s="21"/>
    </row>
    <row r="206" spans="1:13" ht="15.75" customHeight="1" x14ac:dyDescent="0.2">
      <c r="A206" s="21"/>
      <c r="B206" s="44"/>
      <c r="C206" s="28"/>
      <c r="D206" s="39"/>
      <c r="E206" s="45"/>
      <c r="F206" s="39"/>
      <c r="G206" s="31"/>
      <c r="H206" s="39"/>
      <c r="I206" s="21"/>
      <c r="J206" s="21"/>
      <c r="K206" s="21"/>
      <c r="L206" s="21"/>
      <c r="M206" s="21"/>
    </row>
    <row r="207" spans="1:13" ht="15.75" customHeight="1" x14ac:dyDescent="0.2">
      <c r="A207" s="21"/>
      <c r="B207" s="41"/>
      <c r="C207" s="34"/>
      <c r="D207" s="43"/>
      <c r="E207" s="42"/>
      <c r="F207" s="43"/>
      <c r="G207" s="36"/>
      <c r="H207" s="43"/>
      <c r="I207" s="21"/>
      <c r="J207" s="21"/>
      <c r="K207" s="21"/>
      <c r="L207" s="21"/>
      <c r="M207" s="21"/>
    </row>
    <row r="208" spans="1:13" ht="15.75" customHeight="1" x14ac:dyDescent="0.2">
      <c r="A208" s="21"/>
      <c r="B208" s="44"/>
      <c r="C208" s="28"/>
      <c r="D208" s="39"/>
      <c r="E208" s="45"/>
      <c r="F208" s="30"/>
      <c r="G208" s="31"/>
      <c r="H208" s="39"/>
      <c r="I208" s="21"/>
      <c r="J208" s="21"/>
      <c r="K208" s="21"/>
      <c r="L208" s="21"/>
      <c r="M208" s="21"/>
    </row>
    <row r="209" spans="1:13" ht="15.75" customHeight="1" x14ac:dyDescent="0.2">
      <c r="A209" s="21"/>
      <c r="B209" s="41"/>
      <c r="C209" s="34"/>
      <c r="D209" s="43"/>
      <c r="E209" s="42"/>
      <c r="F209" s="34"/>
      <c r="G209" s="36"/>
      <c r="H209" s="43"/>
      <c r="I209" s="21"/>
      <c r="J209" s="21"/>
      <c r="K209" s="21"/>
      <c r="L209" s="21"/>
      <c r="M209" s="21"/>
    </row>
    <row r="210" spans="1:13" ht="15.75" customHeight="1" x14ac:dyDescent="0.2">
      <c r="A210" s="21"/>
      <c r="B210" s="44"/>
      <c r="C210" s="28"/>
      <c r="D210" s="39"/>
      <c r="E210" s="45"/>
      <c r="F210" s="30"/>
      <c r="G210" s="31"/>
      <c r="H210" s="39"/>
      <c r="I210" s="21"/>
      <c r="J210" s="21"/>
      <c r="K210" s="21"/>
      <c r="L210" s="21"/>
      <c r="M210" s="21"/>
    </row>
    <row r="211" spans="1:13" ht="15.75" customHeight="1" x14ac:dyDescent="0.2">
      <c r="A211" s="21"/>
      <c r="B211" s="41"/>
      <c r="C211" s="34"/>
      <c r="D211" s="43"/>
      <c r="E211" s="42"/>
      <c r="F211" s="40"/>
      <c r="G211" s="36"/>
      <c r="H211" s="43"/>
      <c r="I211" s="21"/>
      <c r="J211" s="21"/>
      <c r="K211" s="21"/>
      <c r="L211" s="21"/>
      <c r="M211" s="21"/>
    </row>
    <row r="212" spans="1:13" ht="15.75" customHeight="1" x14ac:dyDescent="0.2">
      <c r="A212" s="21"/>
      <c r="B212" s="44"/>
      <c r="C212" s="28"/>
      <c r="D212" s="39"/>
      <c r="E212" s="45"/>
      <c r="F212" s="28"/>
      <c r="G212" s="31"/>
      <c r="H212" s="39"/>
      <c r="I212" s="21"/>
      <c r="J212" s="21"/>
      <c r="K212" s="21"/>
      <c r="L212" s="21"/>
      <c r="M212" s="21"/>
    </row>
    <row r="213" spans="1:13" ht="15.75" customHeight="1" x14ac:dyDescent="0.2">
      <c r="A213" s="21"/>
      <c r="B213" s="41"/>
      <c r="C213" s="34"/>
      <c r="D213" s="43"/>
      <c r="E213" s="42"/>
      <c r="F213" s="43"/>
      <c r="G213" s="36"/>
      <c r="H213" s="43"/>
      <c r="I213" s="21"/>
      <c r="J213" s="21"/>
      <c r="K213" s="21"/>
      <c r="L213" s="21"/>
      <c r="M213" s="21"/>
    </row>
    <row r="214" spans="1:13" ht="15.75" customHeight="1" x14ac:dyDescent="0.2">
      <c r="A214" s="21"/>
      <c r="B214" s="44"/>
      <c r="C214" s="28"/>
      <c r="D214" s="39"/>
      <c r="E214" s="45"/>
      <c r="F214" s="39"/>
      <c r="G214" s="31"/>
      <c r="H214" s="39"/>
      <c r="I214" s="21"/>
      <c r="J214" s="21"/>
      <c r="K214" s="21"/>
      <c r="L214" s="21"/>
      <c r="M214" s="21"/>
    </row>
    <row r="215" spans="1:13" ht="15.75" customHeight="1" x14ac:dyDescent="0.2">
      <c r="A215" s="21"/>
      <c r="B215" s="41"/>
      <c r="C215" s="34"/>
      <c r="D215" s="43"/>
      <c r="E215" s="42"/>
      <c r="F215" s="34"/>
      <c r="G215" s="36"/>
      <c r="H215" s="43"/>
      <c r="I215" s="21"/>
      <c r="J215" s="21"/>
      <c r="K215" s="21"/>
      <c r="L215" s="21"/>
      <c r="M215" s="21"/>
    </row>
    <row r="216" spans="1:13" ht="15.75" customHeight="1" x14ac:dyDescent="0.2">
      <c r="A216" s="21"/>
      <c r="B216" s="44"/>
      <c r="C216" s="28"/>
      <c r="D216" s="39"/>
      <c r="E216" s="45"/>
      <c r="F216" s="28"/>
      <c r="G216" s="31"/>
      <c r="H216" s="39"/>
      <c r="I216" s="21"/>
      <c r="J216" s="21"/>
      <c r="K216" s="21"/>
      <c r="L216" s="21"/>
      <c r="M216" s="21"/>
    </row>
    <row r="217" spans="1:13" ht="15.75" customHeight="1" x14ac:dyDescent="0.2">
      <c r="A217" s="21"/>
      <c r="B217" s="41"/>
      <c r="C217" s="34"/>
      <c r="D217" s="43"/>
      <c r="E217" s="42"/>
      <c r="F217" s="40"/>
      <c r="G217" s="36"/>
      <c r="H217" s="43"/>
      <c r="I217" s="21"/>
      <c r="J217" s="21"/>
      <c r="K217" s="21"/>
      <c r="L217" s="21"/>
      <c r="M217" s="21"/>
    </row>
    <row r="218" spans="1:13" ht="15.75" customHeight="1" x14ac:dyDescent="0.2">
      <c r="A218" s="21"/>
      <c r="B218" s="44"/>
      <c r="C218" s="28"/>
      <c r="D218" s="39"/>
      <c r="E218" s="45"/>
      <c r="F218" s="39"/>
      <c r="G218" s="31"/>
      <c r="H218" s="39"/>
      <c r="I218" s="21"/>
      <c r="J218" s="21"/>
      <c r="K218" s="21"/>
      <c r="L218" s="21"/>
      <c r="M218" s="21"/>
    </row>
    <row r="219" spans="1:13" ht="15.75" customHeight="1" x14ac:dyDescent="0.2">
      <c r="B219" s="41"/>
      <c r="C219" s="34"/>
      <c r="D219" s="43"/>
      <c r="E219" s="42"/>
      <c r="F219" s="40"/>
      <c r="G219" s="36"/>
      <c r="H219" s="43"/>
    </row>
    <row r="220" spans="1:13" ht="15.75" customHeight="1" x14ac:dyDescent="0.2">
      <c r="B220" s="44"/>
      <c r="C220" s="28"/>
      <c r="D220" s="39"/>
      <c r="E220" s="45"/>
      <c r="F220" s="28"/>
      <c r="G220" s="31"/>
      <c r="H220" s="39"/>
    </row>
    <row r="221" spans="1:13" ht="15.75" customHeight="1" x14ac:dyDescent="0.2">
      <c r="B221" s="41"/>
      <c r="C221" s="34"/>
      <c r="D221" s="43"/>
      <c r="E221" s="42"/>
      <c r="F221" s="43"/>
      <c r="G221" s="36"/>
      <c r="H221" s="47"/>
    </row>
    <row r="222" spans="1:13" ht="15.75" customHeight="1" x14ac:dyDescent="0.2">
      <c r="B222" s="44"/>
      <c r="C222" s="28"/>
      <c r="D222" s="39"/>
      <c r="E222" s="45"/>
      <c r="F222" s="39"/>
      <c r="G222" s="31"/>
      <c r="H222" s="38"/>
    </row>
    <row r="223" spans="1:13" ht="15.75" customHeight="1" x14ac:dyDescent="0.2">
      <c r="B223" s="41"/>
      <c r="C223" s="34"/>
      <c r="D223" s="43"/>
      <c r="E223" s="42"/>
      <c r="F223" s="43"/>
      <c r="G223" s="36"/>
      <c r="H223" s="47"/>
    </row>
    <row r="224" spans="1:13" ht="15.75" customHeight="1" x14ac:dyDescent="0.2">
      <c r="B224" s="44"/>
      <c r="C224" s="28"/>
      <c r="D224" s="39"/>
      <c r="E224" s="45"/>
      <c r="F224" s="28"/>
      <c r="G224" s="31"/>
      <c r="H224" s="39"/>
    </row>
    <row r="225" spans="2:8" ht="15.75" customHeight="1" x14ac:dyDescent="0.2">
      <c r="B225" s="41"/>
      <c r="C225" s="34"/>
      <c r="D225" s="43"/>
      <c r="E225" s="42"/>
      <c r="F225" s="40"/>
      <c r="G225" s="36"/>
      <c r="H225" s="43"/>
    </row>
    <row r="226" spans="2:8" ht="15.75" customHeight="1" x14ac:dyDescent="0.2">
      <c r="B226" s="44"/>
      <c r="C226" s="28"/>
      <c r="D226" s="39"/>
      <c r="E226" s="45"/>
      <c r="F226" s="30"/>
      <c r="G226" s="31"/>
      <c r="H226" s="38"/>
    </row>
    <row r="227" spans="2:8" ht="15.75" customHeight="1" x14ac:dyDescent="0.2">
      <c r="B227" s="41"/>
      <c r="C227" s="34"/>
      <c r="D227" s="43"/>
      <c r="E227" s="42"/>
      <c r="F227" s="40"/>
      <c r="G227" s="36"/>
      <c r="H227" s="47"/>
    </row>
    <row r="228" spans="2:8" ht="15.75" customHeight="1" x14ac:dyDescent="0.2">
      <c r="B228" s="44"/>
      <c r="C228" s="28"/>
      <c r="D228" s="30"/>
      <c r="E228" s="45"/>
      <c r="F228" s="30"/>
      <c r="G228" s="31"/>
      <c r="H228" s="39"/>
    </row>
    <row r="229" spans="2:8" ht="15.75" customHeight="1" x14ac:dyDescent="0.2">
      <c r="B229" s="41"/>
      <c r="C229" s="34"/>
      <c r="D229" s="40"/>
      <c r="E229" s="42"/>
      <c r="F229" s="40"/>
      <c r="G229" s="36"/>
      <c r="H229" s="40"/>
    </row>
    <row r="230" spans="2:8" ht="15.75" customHeight="1" x14ac:dyDescent="0.2">
      <c r="B230" s="44"/>
      <c r="C230" s="28"/>
      <c r="D230" s="30"/>
      <c r="E230" s="45"/>
      <c r="F230" s="30"/>
      <c r="G230" s="31"/>
      <c r="H230" s="30"/>
    </row>
    <row r="231" spans="2:8" ht="15.75" customHeight="1" x14ac:dyDescent="0.2">
      <c r="B231" s="41"/>
      <c r="C231" s="34"/>
      <c r="D231" s="47"/>
      <c r="E231" s="52"/>
      <c r="F231" s="47"/>
      <c r="G231" s="36"/>
      <c r="H231" s="47"/>
    </row>
    <row r="232" spans="2:8" ht="15.75" customHeight="1" x14ac:dyDescent="0.2">
      <c r="B232" s="44"/>
      <c r="C232" s="28"/>
      <c r="D232" s="38"/>
      <c r="E232" s="53"/>
      <c r="F232" s="38"/>
      <c r="G232" s="31"/>
      <c r="H232" s="38"/>
    </row>
    <row r="233" spans="2:8" ht="15.75" customHeight="1" x14ac:dyDescent="0.2">
      <c r="B233" s="41"/>
      <c r="C233" s="34"/>
      <c r="D233" s="40"/>
      <c r="E233" s="54"/>
      <c r="F233" s="55"/>
      <c r="G233" s="36"/>
      <c r="H233" s="43"/>
    </row>
    <row r="234" spans="2:8" ht="15.75" customHeight="1" x14ac:dyDescent="0.2">
      <c r="B234" s="44"/>
      <c r="C234" s="28"/>
      <c r="D234" s="38"/>
      <c r="E234" s="53"/>
      <c r="F234" s="38"/>
      <c r="G234" s="31"/>
      <c r="H234" s="38"/>
    </row>
    <row r="235" spans="2:8" ht="15.75" customHeight="1" x14ac:dyDescent="0.2">
      <c r="B235" s="41"/>
      <c r="C235" s="34"/>
      <c r="D235" s="47"/>
      <c r="E235" s="52"/>
      <c r="F235" s="34"/>
      <c r="G235" s="36"/>
      <c r="H235" s="47"/>
    </row>
    <row r="236" spans="2:8" ht="15.75" customHeight="1" x14ac:dyDescent="0.2">
      <c r="B236" s="44"/>
      <c r="C236" s="28"/>
      <c r="D236" s="38"/>
      <c r="E236" s="53"/>
      <c r="F236" s="38"/>
      <c r="G236" s="31"/>
      <c r="H236" s="38"/>
    </row>
    <row r="237" spans="2:8" ht="15.75" customHeight="1" x14ac:dyDescent="0.2">
      <c r="B237" s="41"/>
      <c r="C237" s="34"/>
      <c r="D237" s="47"/>
      <c r="E237" s="52"/>
      <c r="F237" s="40"/>
      <c r="G237" s="36"/>
      <c r="H237" s="43"/>
    </row>
    <row r="238" spans="2:8" ht="15.75" customHeight="1" x14ac:dyDescent="0.2">
      <c r="B238" s="44"/>
      <c r="C238" s="28"/>
      <c r="D238" s="38"/>
      <c r="E238" s="53"/>
      <c r="F238" s="38"/>
      <c r="G238" s="31"/>
      <c r="H238" s="39"/>
    </row>
    <row r="239" spans="2:8" ht="15.75" customHeight="1" x14ac:dyDescent="0.2">
      <c r="B239" s="41"/>
      <c r="C239" s="34"/>
      <c r="D239" s="47"/>
      <c r="E239" s="52"/>
      <c r="F239" s="47"/>
      <c r="G239" s="36"/>
      <c r="H239" s="47"/>
    </row>
    <row r="240" spans="2:8" ht="15.75" customHeight="1" x14ac:dyDescent="0.2">
      <c r="B240" s="44"/>
      <c r="C240" s="28"/>
      <c r="D240" s="38"/>
      <c r="E240" s="53"/>
      <c r="F240" s="38"/>
      <c r="G240" s="31"/>
      <c r="H240" s="38"/>
    </row>
    <row r="241" spans="2:8" ht="15.75" customHeight="1" x14ac:dyDescent="0.2">
      <c r="B241" s="41"/>
      <c r="C241" s="34"/>
      <c r="D241" s="47"/>
      <c r="E241" s="52"/>
      <c r="F241" s="47"/>
      <c r="G241" s="36"/>
      <c r="H241" s="47"/>
    </row>
    <row r="242" spans="2:8" ht="15.75" customHeight="1" x14ac:dyDescent="0.2">
      <c r="B242" s="44"/>
      <c r="C242" s="28"/>
      <c r="D242" s="38"/>
      <c r="E242" s="53"/>
      <c r="F242" s="28"/>
      <c r="G242" s="31"/>
      <c r="H242" s="38"/>
    </row>
    <row r="243" spans="2:8" ht="15.75" customHeight="1" x14ac:dyDescent="0.2">
      <c r="B243" s="41"/>
      <c r="C243" s="34"/>
      <c r="D243" s="47"/>
      <c r="E243" s="52"/>
      <c r="F243" s="47"/>
      <c r="G243" s="36"/>
      <c r="H243" s="47"/>
    </row>
    <row r="244" spans="2:8" ht="15.75" customHeight="1" x14ac:dyDescent="0.2">
      <c r="B244" s="44"/>
      <c r="C244" s="28"/>
      <c r="D244" s="38"/>
      <c r="E244" s="53"/>
      <c r="F244" s="38"/>
      <c r="G244" s="31"/>
      <c r="H244" s="38"/>
    </row>
    <row r="245" spans="2:8" ht="15.75" customHeight="1" x14ac:dyDescent="0.2">
      <c r="B245" s="41"/>
      <c r="C245" s="34"/>
      <c r="D245" s="40"/>
      <c r="E245" s="54"/>
      <c r="F245" s="55"/>
      <c r="G245" s="36"/>
      <c r="H245" s="43"/>
    </row>
    <row r="246" spans="2:8" ht="15.75" customHeight="1" x14ac:dyDescent="0.2">
      <c r="B246" s="44"/>
      <c r="C246" s="28"/>
      <c r="D246" s="38"/>
      <c r="E246" s="53"/>
      <c r="F246" s="28"/>
      <c r="G246" s="31"/>
      <c r="H246" s="38"/>
    </row>
    <row r="247" spans="2:8" ht="15.75" customHeight="1" x14ac:dyDescent="0.2">
      <c r="B247" s="41"/>
      <c r="C247" s="34"/>
      <c r="D247" s="47"/>
      <c r="E247" s="52"/>
      <c r="F247" s="34"/>
      <c r="G247" s="36"/>
      <c r="H247" s="47"/>
    </row>
    <row r="248" spans="2:8" ht="15.75" customHeight="1" x14ac:dyDescent="0.2">
      <c r="B248" s="44"/>
      <c r="C248" s="28"/>
      <c r="D248" s="38"/>
      <c r="E248" s="53"/>
      <c r="F248" s="30"/>
      <c r="G248" s="31"/>
      <c r="H248" s="38"/>
    </row>
    <row r="249" spans="2:8" ht="15.75" customHeight="1" x14ac:dyDescent="0.2">
      <c r="B249" s="41"/>
      <c r="C249" s="34"/>
      <c r="D249" s="47"/>
      <c r="E249" s="52"/>
      <c r="F249" s="34"/>
      <c r="G249" s="36"/>
      <c r="H249" s="47"/>
    </row>
    <row r="250" spans="2:8" ht="15.75" customHeight="1" x14ac:dyDescent="0.2">
      <c r="B250" s="44"/>
      <c r="C250" s="28"/>
      <c r="D250" s="38"/>
      <c r="E250" s="53"/>
      <c r="F250" s="38"/>
      <c r="G250" s="31"/>
      <c r="H250" s="38"/>
    </row>
    <row r="251" spans="2:8" ht="15.75" customHeight="1" x14ac:dyDescent="0.2">
      <c r="B251" s="41"/>
      <c r="C251" s="34"/>
      <c r="D251" s="47"/>
      <c r="E251" s="52"/>
      <c r="F251" s="47"/>
      <c r="G251" s="36"/>
      <c r="H251" s="47"/>
    </row>
    <row r="252" spans="2:8" ht="15.75" customHeight="1" x14ac:dyDescent="0.2">
      <c r="B252" s="44"/>
      <c r="C252" s="28"/>
      <c r="D252" s="38"/>
      <c r="E252" s="53"/>
      <c r="F252" s="30"/>
      <c r="G252" s="31"/>
      <c r="H252" s="38"/>
    </row>
    <row r="253" spans="2:8" ht="15.75" customHeight="1" x14ac:dyDescent="0.2">
      <c r="B253" s="41"/>
      <c r="C253" s="34"/>
      <c r="D253" s="47"/>
      <c r="E253" s="52"/>
      <c r="F253" s="34"/>
      <c r="G253" s="36"/>
      <c r="H253" s="47"/>
    </row>
    <row r="254" spans="2:8" ht="15.75" customHeight="1" x14ac:dyDescent="0.2">
      <c r="B254" s="44"/>
      <c r="C254" s="28"/>
      <c r="D254" s="38"/>
      <c r="E254" s="53"/>
      <c r="F254" s="38"/>
      <c r="G254" s="31"/>
      <c r="H254" s="38"/>
    </row>
    <row r="255" spans="2:8" ht="15.75" customHeight="1" x14ac:dyDescent="0.2">
      <c r="B255" s="41"/>
      <c r="C255" s="34"/>
      <c r="D255" s="47"/>
      <c r="E255" s="52"/>
      <c r="F255" s="47"/>
      <c r="G255" s="36"/>
      <c r="H255" s="47"/>
    </row>
    <row r="256" spans="2:8" ht="15.75" customHeight="1" x14ac:dyDescent="0.2">
      <c r="B256" s="44"/>
      <c r="C256" s="28"/>
      <c r="D256" s="38"/>
      <c r="E256" s="53"/>
      <c r="F256" s="28"/>
      <c r="G256" s="31"/>
      <c r="H256" s="38"/>
    </row>
    <row r="257" spans="2:8" ht="15.75" customHeight="1" x14ac:dyDescent="0.2">
      <c r="B257" s="41"/>
      <c r="C257" s="34"/>
      <c r="D257" s="47"/>
      <c r="E257" s="52"/>
      <c r="F257" s="34"/>
      <c r="G257" s="36"/>
      <c r="H257" s="47"/>
    </row>
    <row r="258" spans="2:8" ht="15.75" customHeight="1" x14ac:dyDescent="0.2">
      <c r="B258" s="44"/>
      <c r="C258" s="28"/>
      <c r="D258" s="30"/>
      <c r="E258" s="45"/>
      <c r="F258" s="30"/>
      <c r="G258" s="31"/>
      <c r="H258" s="39"/>
    </row>
    <row r="259" spans="2:8" ht="15.75" customHeight="1" x14ac:dyDescent="0.2">
      <c r="B259" s="41"/>
      <c r="C259" s="34"/>
      <c r="D259" s="40"/>
      <c r="E259" s="42"/>
      <c r="F259" s="40"/>
      <c r="G259" s="36"/>
      <c r="H259" s="40"/>
    </row>
    <row r="260" spans="2:8" ht="15.75" customHeight="1" x14ac:dyDescent="0.2">
      <c r="B260" s="44"/>
      <c r="C260" s="28"/>
      <c r="D260" s="30"/>
      <c r="E260" s="45"/>
      <c r="F260" s="30"/>
      <c r="G260" s="31"/>
      <c r="H260" s="30"/>
    </row>
    <row r="261" spans="2:8" ht="15.75" customHeight="1" x14ac:dyDescent="0.2">
      <c r="B261" s="41"/>
      <c r="C261" s="34"/>
      <c r="D261" s="47"/>
      <c r="E261" s="52"/>
      <c r="F261" s="34"/>
      <c r="G261" s="36"/>
      <c r="H261" s="47"/>
    </row>
    <row r="262" spans="2:8" ht="15.75" customHeight="1" x14ac:dyDescent="0.2">
      <c r="B262" s="56"/>
      <c r="C262" s="57"/>
      <c r="D262" s="58"/>
      <c r="E262" s="59"/>
      <c r="F262" s="58"/>
      <c r="G262" s="31"/>
      <c r="H262" s="58"/>
    </row>
    <row r="263" spans="2:8" ht="15.75" customHeight="1" x14ac:dyDescent="0.2">
      <c r="B263" s="60"/>
      <c r="C263" s="34"/>
      <c r="D263" s="47"/>
      <c r="E263" s="52"/>
      <c r="F263" s="47"/>
      <c r="G263" s="36"/>
      <c r="H263" s="47"/>
    </row>
    <row r="264" spans="2:8" ht="15.75" customHeight="1" x14ac:dyDescent="0.2">
      <c r="B264" s="56"/>
      <c r="C264" s="28"/>
      <c r="D264" s="38"/>
      <c r="E264" s="53"/>
      <c r="F264" s="38"/>
      <c r="G264" s="31"/>
      <c r="H264" s="38"/>
    </row>
    <row r="265" spans="2:8" ht="15.75" customHeight="1" x14ac:dyDescent="0.2">
      <c r="B265" s="60"/>
      <c r="C265" s="34"/>
      <c r="D265" s="47"/>
      <c r="E265" s="52"/>
      <c r="F265" s="47"/>
      <c r="G265" s="36"/>
      <c r="H265" s="47"/>
    </row>
    <row r="266" spans="2:8" ht="15.75" customHeight="1" x14ac:dyDescent="0.2">
      <c r="B266" s="56"/>
      <c r="C266" s="28"/>
      <c r="D266" s="38"/>
      <c r="E266" s="53"/>
      <c r="F266" s="38"/>
      <c r="G266" s="31"/>
      <c r="H266" s="39"/>
    </row>
    <row r="267" spans="2:8" ht="15.75" customHeight="1" x14ac:dyDescent="0.2">
      <c r="B267" s="60"/>
      <c r="C267" s="34"/>
      <c r="D267" s="47"/>
      <c r="E267" s="52"/>
      <c r="F267" s="47"/>
      <c r="G267" s="36"/>
      <c r="H267" s="47"/>
    </row>
    <row r="268" spans="2:8" ht="15.75" customHeight="1" x14ac:dyDescent="0.2">
      <c r="B268" s="56"/>
      <c r="C268" s="28"/>
      <c r="D268" s="38"/>
      <c r="E268" s="53"/>
      <c r="F268" s="38"/>
      <c r="G268" s="31"/>
      <c r="H268" s="38"/>
    </row>
    <row r="269" spans="2:8" ht="15.75" customHeight="1" x14ac:dyDescent="0.2">
      <c r="B269" s="60"/>
      <c r="C269" s="34"/>
      <c r="D269" s="47"/>
      <c r="E269" s="52"/>
      <c r="F269" s="47"/>
      <c r="G269" s="36"/>
      <c r="H269" s="47"/>
    </row>
    <row r="270" spans="2:8" ht="15.75" customHeight="1" x14ac:dyDescent="0.2">
      <c r="B270" s="56"/>
      <c r="C270" s="28"/>
      <c r="D270" s="38"/>
      <c r="E270" s="53"/>
      <c r="F270" s="28"/>
      <c r="G270" s="31"/>
      <c r="H270" s="38"/>
    </row>
    <row r="271" spans="2:8" ht="15.75" customHeight="1" x14ac:dyDescent="0.2">
      <c r="B271" s="60"/>
      <c r="C271" s="34"/>
      <c r="D271" s="47"/>
      <c r="E271" s="52"/>
      <c r="F271" s="40"/>
      <c r="G271" s="36"/>
      <c r="H271" s="47"/>
    </row>
    <row r="272" spans="2:8" ht="15.75" customHeight="1" x14ac:dyDescent="0.2">
      <c r="B272" s="56"/>
      <c r="C272" s="28"/>
      <c r="D272" s="38"/>
      <c r="E272" s="53"/>
      <c r="F272" s="30"/>
      <c r="G272" s="31"/>
      <c r="H272" s="38"/>
    </row>
    <row r="273" spans="2:8" ht="15.75" customHeight="1" x14ac:dyDescent="0.2">
      <c r="B273" s="60"/>
      <c r="C273" s="34"/>
      <c r="D273" s="47"/>
      <c r="E273" s="52"/>
      <c r="F273" s="47"/>
      <c r="G273" s="36"/>
      <c r="H273" s="47"/>
    </row>
    <row r="274" spans="2:8" ht="15.75" customHeight="1" x14ac:dyDescent="0.2">
      <c r="B274" s="56"/>
      <c r="C274" s="28"/>
      <c r="D274" s="38"/>
      <c r="E274" s="53"/>
      <c r="F274" s="38"/>
      <c r="G274" s="31"/>
      <c r="H274" s="38"/>
    </row>
    <row r="275" spans="2:8" ht="15.75" customHeight="1" x14ac:dyDescent="0.2">
      <c r="B275" s="60"/>
      <c r="C275" s="34"/>
      <c r="D275" s="47"/>
      <c r="E275" s="52"/>
      <c r="F275" s="47"/>
      <c r="G275" s="36"/>
      <c r="H275" s="47"/>
    </row>
    <row r="276" spans="2:8" ht="15.75" customHeight="1" x14ac:dyDescent="0.2">
      <c r="B276" s="56"/>
      <c r="C276" s="28"/>
      <c r="D276" s="38"/>
      <c r="E276" s="53"/>
      <c r="F276" s="38"/>
      <c r="G276" s="31"/>
      <c r="H276" s="38"/>
    </row>
    <row r="277" spans="2:8" ht="15.75" customHeight="1" x14ac:dyDescent="0.2">
      <c r="B277" s="60"/>
      <c r="C277" s="34"/>
      <c r="D277" s="47"/>
      <c r="E277" s="52"/>
      <c r="F277" s="47"/>
      <c r="G277" s="36"/>
      <c r="H277" s="47"/>
    </row>
    <row r="278" spans="2:8" ht="15.75" customHeight="1" x14ac:dyDescent="0.2">
      <c r="B278" s="56"/>
      <c r="C278" s="28"/>
      <c r="D278" s="38"/>
      <c r="E278" s="53"/>
      <c r="F278" s="38"/>
      <c r="G278" s="31"/>
      <c r="H278" s="38"/>
    </row>
    <row r="279" spans="2:8" ht="15.75" customHeight="1" x14ac:dyDescent="0.2">
      <c r="B279" s="60"/>
      <c r="C279" s="34"/>
      <c r="D279" s="47"/>
      <c r="E279" s="52"/>
      <c r="F279" s="40"/>
      <c r="G279" s="36"/>
      <c r="H279" s="47"/>
    </row>
    <row r="280" spans="2:8" ht="15.75" customHeight="1" x14ac:dyDescent="0.2">
      <c r="B280" s="56"/>
      <c r="C280" s="28"/>
      <c r="D280" s="38"/>
      <c r="E280" s="53"/>
      <c r="F280" s="30"/>
      <c r="G280" s="31"/>
      <c r="H280" s="38"/>
    </row>
    <row r="281" spans="2:8" ht="15.75" customHeight="1" x14ac:dyDescent="0.2">
      <c r="B281" s="60"/>
      <c r="C281" s="34"/>
      <c r="D281" s="47"/>
      <c r="E281" s="52"/>
      <c r="F281" s="40"/>
      <c r="G281" s="36"/>
      <c r="H281" s="47"/>
    </row>
    <row r="282" spans="2:8" ht="15.75" customHeight="1" x14ac:dyDescent="0.2">
      <c r="B282" s="56"/>
      <c r="C282" s="28"/>
      <c r="D282" s="38"/>
      <c r="E282" s="53"/>
      <c r="F282" s="38"/>
      <c r="G282" s="31"/>
      <c r="H282" s="38"/>
    </row>
    <row r="283" spans="2:8" ht="15.75" customHeight="1" x14ac:dyDescent="0.2">
      <c r="B283" s="60"/>
      <c r="C283" s="34"/>
      <c r="D283" s="47"/>
      <c r="E283" s="52"/>
      <c r="F283" s="47"/>
      <c r="G283" s="36"/>
      <c r="H283" s="47"/>
    </row>
    <row r="284" spans="2:8" ht="15.75" customHeight="1" x14ac:dyDescent="0.2">
      <c r="B284" s="56"/>
      <c r="C284" s="28"/>
      <c r="D284" s="38"/>
      <c r="E284" s="53"/>
      <c r="F284" s="38"/>
      <c r="G284" s="31"/>
      <c r="H284" s="38"/>
    </row>
    <row r="285" spans="2:8" ht="15.75" customHeight="1" x14ac:dyDescent="0.2">
      <c r="B285" s="60"/>
      <c r="C285" s="34"/>
      <c r="D285" s="47"/>
      <c r="E285" s="52"/>
      <c r="F285" s="47"/>
      <c r="G285" s="36"/>
      <c r="H285" s="47"/>
    </row>
    <row r="286" spans="2:8" ht="15.75" customHeight="1" x14ac:dyDescent="0.2">
      <c r="B286" s="56"/>
      <c r="C286" s="28"/>
      <c r="D286" s="38"/>
      <c r="E286" s="53"/>
      <c r="F286" s="38"/>
      <c r="G286" s="31"/>
      <c r="H286" s="38"/>
    </row>
    <row r="287" spans="2:8" ht="15.75" customHeight="1" x14ac:dyDescent="0.2">
      <c r="B287" s="60"/>
      <c r="C287" s="34"/>
      <c r="D287" s="47"/>
      <c r="E287" s="52"/>
      <c r="F287" s="34"/>
      <c r="G287" s="36"/>
      <c r="H287" s="47"/>
    </row>
    <row r="288" spans="2:8" ht="15.75" customHeight="1" x14ac:dyDescent="0.2">
      <c r="B288" s="56"/>
      <c r="C288" s="28"/>
      <c r="D288" s="39"/>
      <c r="E288" s="53"/>
      <c r="F288" s="38"/>
      <c r="G288" s="31"/>
      <c r="H288" s="38"/>
    </row>
    <row r="289" spans="2:8" ht="15.75" customHeight="1" x14ac:dyDescent="0.2">
      <c r="B289" s="60"/>
      <c r="C289" s="34"/>
      <c r="D289" s="47"/>
      <c r="E289" s="52"/>
      <c r="F289" s="34"/>
      <c r="G289" s="36"/>
      <c r="H289" s="47"/>
    </row>
    <row r="290" spans="2:8" ht="15.75" customHeight="1" x14ac:dyDescent="0.2">
      <c r="B290" s="56"/>
      <c r="C290" s="28"/>
      <c r="D290" s="38"/>
      <c r="E290" s="53"/>
      <c r="F290" s="28"/>
      <c r="G290" s="31"/>
      <c r="H290" s="38"/>
    </row>
    <row r="291" spans="2:8" ht="15.75" customHeight="1" x14ac:dyDescent="0.2">
      <c r="B291" s="60"/>
      <c r="C291" s="34"/>
      <c r="D291" s="47"/>
      <c r="E291" s="52"/>
      <c r="F291" s="34"/>
      <c r="G291" s="36"/>
      <c r="H291" s="47"/>
    </row>
    <row r="292" spans="2:8" ht="15.75" customHeight="1" x14ac:dyDescent="0.2">
      <c r="B292" s="56"/>
      <c r="C292" s="28"/>
      <c r="D292" s="38"/>
      <c r="E292" s="53"/>
      <c r="F292" s="30"/>
      <c r="G292" s="31"/>
      <c r="H292" s="38"/>
    </row>
    <row r="293" spans="2:8" ht="15.75" customHeight="1" x14ac:dyDescent="0.2">
      <c r="B293" s="60"/>
      <c r="C293" s="34"/>
      <c r="D293" s="47"/>
      <c r="E293" s="52"/>
      <c r="F293" s="40"/>
      <c r="G293" s="36"/>
      <c r="H293" s="47"/>
    </row>
    <row r="294" spans="2:8" ht="15.75" customHeight="1" x14ac:dyDescent="0.2">
      <c r="B294" s="56"/>
      <c r="C294" s="28"/>
      <c r="D294" s="38"/>
      <c r="E294" s="53"/>
      <c r="F294" s="28"/>
      <c r="G294" s="31"/>
      <c r="H294" s="38"/>
    </row>
    <row r="295" spans="2:8" ht="15.75" customHeight="1" x14ac:dyDescent="0.2">
      <c r="B295" s="60"/>
      <c r="C295" s="34"/>
      <c r="D295" s="40"/>
      <c r="E295" s="42"/>
      <c r="F295" s="40"/>
      <c r="G295" s="36"/>
      <c r="H295" s="43"/>
    </row>
    <row r="296" spans="2:8" ht="15.75" customHeight="1" x14ac:dyDescent="0.2">
      <c r="B296" s="56"/>
      <c r="C296" s="28"/>
      <c r="D296" s="30"/>
      <c r="E296" s="45"/>
      <c r="F296" s="30"/>
      <c r="G296" s="31"/>
      <c r="H296" s="30"/>
    </row>
    <row r="297" spans="2:8" ht="15.75" customHeight="1" x14ac:dyDescent="0.2">
      <c r="B297" s="60"/>
      <c r="C297" s="34"/>
      <c r="D297" s="40"/>
      <c r="E297" s="42"/>
      <c r="F297" s="40"/>
      <c r="G297" s="36"/>
      <c r="H297" s="40"/>
    </row>
    <row r="298" spans="2:8" ht="15.75" customHeight="1" x14ac:dyDescent="0.2">
      <c r="B298" s="56"/>
      <c r="C298" s="28"/>
      <c r="D298" s="38"/>
      <c r="E298" s="53"/>
      <c r="F298" s="38"/>
      <c r="G298" s="31"/>
      <c r="H298" s="39"/>
    </row>
    <row r="299" spans="2:8" ht="15.75" customHeight="1" x14ac:dyDescent="0.2">
      <c r="B299" s="60"/>
      <c r="C299" s="34"/>
      <c r="D299" s="47"/>
      <c r="E299" s="52"/>
      <c r="F299" s="47"/>
      <c r="G299" s="36"/>
      <c r="H299" s="47"/>
    </row>
    <row r="300" spans="2:8" ht="15.75" customHeight="1" x14ac:dyDescent="0.2">
      <c r="B300" s="56"/>
      <c r="C300" s="28"/>
      <c r="D300" s="38"/>
      <c r="E300" s="53"/>
      <c r="F300" s="30"/>
      <c r="G300" s="31"/>
      <c r="H300" s="38"/>
    </row>
    <row r="301" spans="2:8" ht="15.75" customHeight="1" x14ac:dyDescent="0.2">
      <c r="B301" s="60"/>
      <c r="C301" s="34"/>
      <c r="D301" s="47"/>
      <c r="E301" s="52"/>
      <c r="F301" s="47"/>
      <c r="G301" s="36"/>
      <c r="H301" s="47"/>
    </row>
    <row r="302" spans="2:8" ht="15.75" customHeight="1" x14ac:dyDescent="0.2">
      <c r="B302" s="56"/>
      <c r="C302" s="28"/>
      <c r="D302" s="38"/>
      <c r="E302" s="53"/>
      <c r="F302" s="38"/>
      <c r="G302" s="31"/>
      <c r="H302" s="38"/>
    </row>
    <row r="303" spans="2:8" ht="15.75" customHeight="1" x14ac:dyDescent="0.2">
      <c r="B303" s="60"/>
      <c r="C303" s="34"/>
      <c r="D303" s="47"/>
      <c r="E303" s="52"/>
      <c r="F303" s="34"/>
      <c r="G303" s="36"/>
      <c r="H303" s="47"/>
    </row>
    <row r="304" spans="2:8" ht="15.75" customHeight="1" x14ac:dyDescent="0.2">
      <c r="B304" s="56"/>
      <c r="C304" s="28"/>
      <c r="D304" s="38"/>
      <c r="E304" s="53"/>
      <c r="F304" s="28"/>
      <c r="G304" s="31"/>
      <c r="H304" s="38"/>
    </row>
    <row r="305" spans="2:8" ht="15.75" customHeight="1" x14ac:dyDescent="0.2">
      <c r="B305" s="60"/>
      <c r="C305" s="34"/>
      <c r="D305" s="47"/>
      <c r="E305" s="52"/>
      <c r="F305" s="47"/>
      <c r="G305" s="36"/>
      <c r="H305" s="47"/>
    </row>
    <row r="306" spans="2:8" ht="15.75" customHeight="1" x14ac:dyDescent="0.2">
      <c r="B306" s="56"/>
      <c r="C306" s="28"/>
      <c r="D306" s="38"/>
      <c r="E306" s="53"/>
      <c r="F306" s="28"/>
      <c r="G306" s="31"/>
      <c r="H306" s="38"/>
    </row>
    <row r="307" spans="2:8" ht="15.75" customHeight="1" x14ac:dyDescent="0.2">
      <c r="B307" s="60"/>
      <c r="C307" s="34"/>
      <c r="D307" s="47"/>
      <c r="E307" s="52"/>
      <c r="F307" s="34"/>
      <c r="G307" s="36"/>
      <c r="H307" s="47"/>
    </row>
    <row r="308" spans="2:8" ht="15.75" customHeight="1" x14ac:dyDescent="0.2">
      <c r="B308" s="56"/>
      <c r="C308" s="28"/>
      <c r="D308" s="39"/>
      <c r="E308" s="53"/>
      <c r="F308" s="30"/>
      <c r="G308" s="31"/>
      <c r="H308" s="38"/>
    </row>
    <row r="309" spans="2:8" ht="15.75" customHeight="1" x14ac:dyDescent="0.2">
      <c r="B309" s="60"/>
      <c r="C309" s="34"/>
      <c r="D309" s="40"/>
      <c r="E309" s="52"/>
      <c r="F309" s="40"/>
      <c r="G309" s="36"/>
      <c r="H309" s="47"/>
    </row>
    <row r="310" spans="2:8" ht="15.75" customHeight="1" x14ac:dyDescent="0.2">
      <c r="B310" s="61"/>
      <c r="C310" s="28"/>
      <c r="D310" s="38"/>
      <c r="E310" s="53"/>
      <c r="F310" s="38"/>
      <c r="G310" s="31"/>
      <c r="H310" s="38"/>
    </row>
    <row r="311" spans="2:8" ht="15.75" customHeight="1" x14ac:dyDescent="0.2">
      <c r="B311" s="62"/>
      <c r="C311" s="34"/>
      <c r="D311" s="47"/>
      <c r="E311" s="52"/>
      <c r="F311" s="47"/>
      <c r="G311" s="36"/>
      <c r="H311" s="47"/>
    </row>
    <row r="312" spans="2:8" ht="15.75" customHeight="1" x14ac:dyDescent="0.2">
      <c r="B312" s="61"/>
      <c r="C312" s="28"/>
      <c r="D312" s="38"/>
      <c r="E312" s="53"/>
      <c r="F312" s="38"/>
      <c r="G312" s="31"/>
      <c r="H312" s="38"/>
    </row>
    <row r="313" spans="2:8" ht="15.75" customHeight="1" x14ac:dyDescent="0.2">
      <c r="B313" s="62"/>
      <c r="C313" s="34"/>
      <c r="D313" s="47"/>
      <c r="E313" s="52"/>
      <c r="F313" s="47"/>
      <c r="G313" s="36"/>
      <c r="H313" s="47"/>
    </row>
    <row r="314" spans="2:8" ht="15.75" customHeight="1" x14ac:dyDescent="0.2">
      <c r="B314" s="61"/>
      <c r="C314" s="28"/>
      <c r="D314" s="38"/>
      <c r="E314" s="53"/>
      <c r="F314" s="38"/>
      <c r="G314" s="31"/>
      <c r="H314" s="38"/>
    </row>
    <row r="315" spans="2:8" ht="15.75" customHeight="1" x14ac:dyDescent="0.2">
      <c r="B315" s="62"/>
      <c r="C315" s="34"/>
      <c r="D315" s="47"/>
      <c r="E315" s="52"/>
      <c r="F315" s="47"/>
      <c r="G315" s="36"/>
      <c r="H315" s="47"/>
    </row>
    <row r="316" spans="2:8" ht="15.75" customHeight="1" x14ac:dyDescent="0.2">
      <c r="B316" s="61"/>
      <c r="C316" s="28"/>
      <c r="D316" s="38"/>
      <c r="E316" s="53"/>
      <c r="F316" s="38"/>
      <c r="G316" s="31"/>
      <c r="H316" s="38"/>
    </row>
    <row r="317" spans="2:8" ht="15.75" customHeight="1" x14ac:dyDescent="0.2">
      <c r="B317" s="62"/>
      <c r="C317" s="34"/>
      <c r="D317" s="47"/>
      <c r="E317" s="52"/>
      <c r="F317" s="47"/>
      <c r="G317" s="36"/>
      <c r="H317" s="47"/>
    </row>
    <row r="318" spans="2:8" ht="15.75" customHeight="1" x14ac:dyDescent="0.2">
      <c r="B318" s="61"/>
      <c r="C318" s="28"/>
      <c r="D318" s="38"/>
      <c r="E318" s="53"/>
      <c r="F318" s="38"/>
      <c r="G318" s="31"/>
      <c r="H318" s="38"/>
    </row>
    <row r="319" spans="2:8" ht="15.75" customHeight="1" x14ac:dyDescent="0.2">
      <c r="B319" s="62"/>
      <c r="C319" s="34"/>
      <c r="D319" s="47"/>
      <c r="E319" s="52"/>
      <c r="F319" s="47"/>
      <c r="G319" s="36"/>
      <c r="H319" s="47"/>
    </row>
    <row r="320" spans="2:8" ht="15.75" customHeight="1" x14ac:dyDescent="0.2">
      <c r="B320" s="61"/>
      <c r="C320" s="28"/>
      <c r="D320" s="38"/>
      <c r="E320" s="53"/>
      <c r="F320" s="38"/>
      <c r="G320" s="31"/>
      <c r="H320" s="38"/>
    </row>
    <row r="321" spans="2:8" ht="15.75" customHeight="1" x14ac:dyDescent="0.2">
      <c r="B321" s="62"/>
      <c r="C321" s="34"/>
      <c r="D321" s="47"/>
      <c r="E321" s="52"/>
      <c r="F321" s="47"/>
      <c r="G321" s="36"/>
      <c r="H321" s="47"/>
    </row>
    <row r="322" spans="2:8" ht="15.75" customHeight="1" x14ac:dyDescent="0.2">
      <c r="B322" s="61"/>
      <c r="C322" s="28"/>
      <c r="D322" s="38"/>
      <c r="E322" s="53"/>
      <c r="F322" s="38"/>
      <c r="G322" s="31"/>
      <c r="H322" s="38"/>
    </row>
    <row r="323" spans="2:8" ht="15.75" customHeight="1" x14ac:dyDescent="0.2">
      <c r="B323" s="62"/>
      <c r="C323" s="34"/>
      <c r="D323" s="47"/>
      <c r="E323" s="52"/>
      <c r="F323" s="47"/>
      <c r="G323" s="36"/>
      <c r="H323" s="47"/>
    </row>
    <row r="324" spans="2:8" ht="15.75" customHeight="1" x14ac:dyDescent="0.2">
      <c r="B324" s="61"/>
      <c r="C324" s="28"/>
      <c r="D324" s="38"/>
      <c r="E324" s="53"/>
      <c r="F324" s="38"/>
      <c r="G324" s="31"/>
      <c r="H324" s="39"/>
    </row>
    <row r="325" spans="2:8" ht="15.75" customHeight="1" x14ac:dyDescent="0.2">
      <c r="B325" s="62"/>
      <c r="C325" s="34"/>
      <c r="D325" s="47"/>
      <c r="E325" s="52"/>
      <c r="F325" s="47"/>
      <c r="G325" s="36"/>
      <c r="H325" s="47"/>
    </row>
    <row r="326" spans="2:8" ht="15.75" customHeight="1" x14ac:dyDescent="0.2">
      <c r="B326" s="61"/>
      <c r="C326" s="28"/>
      <c r="D326" s="38"/>
      <c r="E326" s="53"/>
      <c r="F326" s="38"/>
      <c r="G326" s="31"/>
      <c r="H326" s="38"/>
    </row>
    <row r="327" spans="2:8" ht="15.75" customHeight="1" x14ac:dyDescent="0.2">
      <c r="B327" s="62"/>
      <c r="C327" s="34"/>
      <c r="D327" s="47"/>
      <c r="E327" s="52"/>
      <c r="F327" s="47"/>
      <c r="G327" s="36"/>
      <c r="H327" s="47"/>
    </row>
    <row r="328" spans="2:8" ht="15.75" customHeight="1" x14ac:dyDescent="0.2">
      <c r="B328" s="38"/>
      <c r="C328" s="28" t="str">
        <f t="shared" ref="C261:C515" si="1">IF(B328="", "", TEXT(B328, "MMM YY"))</f>
        <v/>
      </c>
      <c r="D328" s="38"/>
      <c r="E328" s="53"/>
      <c r="F328" s="38"/>
      <c r="G328" s="31" t="e">
        <f ca="1">_xludf.IFNA(VLOOKUP(F328,'Category Setup'!B:D,3,0), "")</f>
        <v>#NAME?</v>
      </c>
      <c r="H328" s="38"/>
    </row>
    <row r="329" spans="2:8" ht="15.75" customHeight="1" x14ac:dyDescent="0.2">
      <c r="B329" s="47"/>
      <c r="C329" s="34" t="str">
        <f t="shared" si="1"/>
        <v/>
      </c>
      <c r="D329" s="47"/>
      <c r="E329" s="52"/>
      <c r="F329" s="47"/>
      <c r="G329" s="36" t="e">
        <f ca="1">_xludf.IFNA(VLOOKUP(F329,'Category Setup'!B:D,3,0), "")</f>
        <v>#NAME?</v>
      </c>
      <c r="H329" s="47"/>
    </row>
    <row r="330" spans="2:8" ht="15.75" customHeight="1" x14ac:dyDescent="0.2">
      <c r="B330" s="38"/>
      <c r="C330" s="28" t="str">
        <f t="shared" si="1"/>
        <v/>
      </c>
      <c r="D330" s="38"/>
      <c r="E330" s="53"/>
      <c r="F330" s="38"/>
      <c r="G330" s="31" t="e">
        <f ca="1">_xludf.IFNA(VLOOKUP(F330,'Category Setup'!B:D,3,0), "")</f>
        <v>#NAME?</v>
      </c>
      <c r="H330" s="38"/>
    </row>
    <row r="331" spans="2:8" ht="15.75" customHeight="1" x14ac:dyDescent="0.2">
      <c r="B331" s="47"/>
      <c r="C331" s="34" t="str">
        <f t="shared" si="1"/>
        <v/>
      </c>
      <c r="D331" s="47"/>
      <c r="E331" s="52"/>
      <c r="F331" s="47"/>
      <c r="G331" s="36" t="e">
        <f ca="1">_xludf.IFNA(VLOOKUP(F331,'Category Setup'!B:D,3,0), "")</f>
        <v>#NAME?</v>
      </c>
      <c r="H331" s="47"/>
    </row>
    <row r="332" spans="2:8" ht="15.75" customHeight="1" x14ac:dyDescent="0.2">
      <c r="B332" s="38"/>
      <c r="C332" s="28" t="str">
        <f t="shared" si="1"/>
        <v/>
      </c>
      <c r="D332" s="38"/>
      <c r="E332" s="53"/>
      <c r="F332" s="38"/>
      <c r="G332" s="31" t="e">
        <f ca="1">_xludf.IFNA(VLOOKUP(F332,'Category Setup'!B:D,3,0), "")</f>
        <v>#NAME?</v>
      </c>
      <c r="H332" s="38"/>
    </row>
    <row r="333" spans="2:8" ht="15.75" customHeight="1" x14ac:dyDescent="0.2">
      <c r="B333" s="47"/>
      <c r="C333" s="34" t="str">
        <f t="shared" si="1"/>
        <v/>
      </c>
      <c r="D333" s="47"/>
      <c r="E333" s="52"/>
      <c r="F333" s="47"/>
      <c r="G333" s="36" t="e">
        <f ca="1">_xludf.IFNA(VLOOKUP(F333,'Category Setup'!B:D,3,0), "")</f>
        <v>#NAME?</v>
      </c>
      <c r="H333" s="47"/>
    </row>
    <row r="334" spans="2:8" ht="15.75" customHeight="1" x14ac:dyDescent="0.2">
      <c r="B334" s="38"/>
      <c r="C334" s="28" t="str">
        <f t="shared" si="1"/>
        <v/>
      </c>
      <c r="D334" s="38"/>
      <c r="E334" s="53"/>
      <c r="F334" s="38"/>
      <c r="G334" s="31" t="e">
        <f ca="1">_xludf.IFNA(VLOOKUP(F334,'Category Setup'!B:D,3,0), "")</f>
        <v>#NAME?</v>
      </c>
      <c r="H334" s="38"/>
    </row>
    <row r="335" spans="2:8" ht="15.75" customHeight="1" x14ac:dyDescent="0.2">
      <c r="B335" s="47"/>
      <c r="C335" s="34" t="str">
        <f t="shared" si="1"/>
        <v/>
      </c>
      <c r="D335" s="47"/>
      <c r="E335" s="52"/>
      <c r="F335" s="47"/>
      <c r="G335" s="36" t="e">
        <f ca="1">_xludf.IFNA(VLOOKUP(F335,'Category Setup'!B:D,3,0), "")</f>
        <v>#NAME?</v>
      </c>
      <c r="H335" s="47"/>
    </row>
    <row r="336" spans="2:8" ht="15.75" customHeight="1" x14ac:dyDescent="0.2">
      <c r="B336" s="38"/>
      <c r="C336" s="28" t="str">
        <f t="shared" si="1"/>
        <v/>
      </c>
      <c r="D336" s="38"/>
      <c r="E336" s="53"/>
      <c r="F336" s="38"/>
      <c r="G336" s="31" t="e">
        <f ca="1">_xludf.IFNA(VLOOKUP(F336,'Category Setup'!B:D,3,0), "")</f>
        <v>#NAME?</v>
      </c>
      <c r="H336" s="38"/>
    </row>
    <row r="337" spans="2:8" ht="15.75" customHeight="1" x14ac:dyDescent="0.2">
      <c r="B337" s="47"/>
      <c r="C337" s="34" t="str">
        <f t="shared" si="1"/>
        <v/>
      </c>
      <c r="D337" s="47"/>
      <c r="E337" s="52"/>
      <c r="F337" s="47"/>
      <c r="G337" s="36" t="e">
        <f ca="1">_xludf.IFNA(VLOOKUP(F337,'Category Setup'!B:D,3,0), "")</f>
        <v>#NAME?</v>
      </c>
      <c r="H337" s="47"/>
    </row>
    <row r="338" spans="2:8" ht="15.75" customHeight="1" x14ac:dyDescent="0.2">
      <c r="B338" s="38"/>
      <c r="C338" s="28" t="str">
        <f t="shared" si="1"/>
        <v/>
      </c>
      <c r="D338" s="38"/>
      <c r="E338" s="53"/>
      <c r="F338" s="38"/>
      <c r="G338" s="31" t="e">
        <f ca="1">_xludf.IFNA(VLOOKUP(F338,'Category Setup'!B:D,3,0), "")</f>
        <v>#NAME?</v>
      </c>
      <c r="H338" s="38"/>
    </row>
    <row r="339" spans="2:8" ht="15.75" customHeight="1" x14ac:dyDescent="0.2">
      <c r="B339" s="47"/>
      <c r="C339" s="34" t="str">
        <f t="shared" si="1"/>
        <v/>
      </c>
      <c r="D339" s="47"/>
      <c r="E339" s="52"/>
      <c r="F339" s="47"/>
      <c r="G339" s="36" t="e">
        <f ca="1">_xludf.IFNA(VLOOKUP(F339,'Category Setup'!B:D,3,0), "")</f>
        <v>#NAME?</v>
      </c>
      <c r="H339" s="47"/>
    </row>
    <row r="340" spans="2:8" ht="15.75" customHeight="1" x14ac:dyDescent="0.2">
      <c r="B340" s="38"/>
      <c r="C340" s="28" t="str">
        <f t="shared" si="1"/>
        <v/>
      </c>
      <c r="D340" s="38"/>
      <c r="E340" s="53"/>
      <c r="F340" s="38"/>
      <c r="G340" s="31" t="e">
        <f ca="1">_xludf.IFNA(VLOOKUP(F340,'Category Setup'!B:D,3,0), "")</f>
        <v>#NAME?</v>
      </c>
      <c r="H340" s="38"/>
    </row>
    <row r="341" spans="2:8" ht="15.75" customHeight="1" x14ac:dyDescent="0.2">
      <c r="B341" s="47"/>
      <c r="C341" s="34" t="str">
        <f t="shared" si="1"/>
        <v/>
      </c>
      <c r="D341" s="47"/>
      <c r="E341" s="52"/>
      <c r="F341" s="47"/>
      <c r="G341" s="36" t="e">
        <f ca="1">_xludf.IFNA(VLOOKUP(F341,'Category Setup'!B:D,3,0), "")</f>
        <v>#NAME?</v>
      </c>
      <c r="H341" s="47"/>
    </row>
    <row r="342" spans="2:8" ht="15.75" customHeight="1" x14ac:dyDescent="0.2">
      <c r="B342" s="38"/>
      <c r="C342" s="28" t="str">
        <f t="shared" si="1"/>
        <v/>
      </c>
      <c r="D342" s="38"/>
      <c r="E342" s="53"/>
      <c r="F342" s="38"/>
      <c r="G342" s="31" t="e">
        <f ca="1">_xludf.IFNA(VLOOKUP(F342,'Category Setup'!B:D,3,0), "")</f>
        <v>#NAME?</v>
      </c>
      <c r="H342" s="38"/>
    </row>
    <row r="343" spans="2:8" ht="15.75" customHeight="1" x14ac:dyDescent="0.2">
      <c r="B343" s="47"/>
      <c r="C343" s="34" t="str">
        <f t="shared" si="1"/>
        <v/>
      </c>
      <c r="D343" s="47"/>
      <c r="E343" s="52"/>
      <c r="F343" s="47"/>
      <c r="G343" s="36" t="e">
        <f ca="1">_xludf.IFNA(VLOOKUP(F343,'Category Setup'!B:D,3,0), "")</f>
        <v>#NAME?</v>
      </c>
      <c r="H343" s="47"/>
    </row>
    <row r="344" spans="2:8" ht="15.75" customHeight="1" x14ac:dyDescent="0.2">
      <c r="B344" s="38"/>
      <c r="C344" s="28" t="str">
        <f t="shared" si="1"/>
        <v/>
      </c>
      <c r="D344" s="38"/>
      <c r="E344" s="53"/>
      <c r="F344" s="38"/>
      <c r="G344" s="31" t="e">
        <f ca="1">_xludf.IFNA(VLOOKUP(F344,'Category Setup'!B:D,3,0), "")</f>
        <v>#NAME?</v>
      </c>
      <c r="H344" s="38"/>
    </row>
    <row r="345" spans="2:8" ht="15.75" customHeight="1" x14ac:dyDescent="0.2">
      <c r="B345" s="47"/>
      <c r="C345" s="34" t="str">
        <f t="shared" si="1"/>
        <v/>
      </c>
      <c r="D345" s="47"/>
      <c r="E345" s="52"/>
      <c r="F345" s="47"/>
      <c r="G345" s="36" t="e">
        <f ca="1">_xludf.IFNA(VLOOKUP(F345,'Category Setup'!B:D,3,0), "")</f>
        <v>#NAME?</v>
      </c>
      <c r="H345" s="47"/>
    </row>
    <row r="346" spans="2:8" ht="15.75" customHeight="1" x14ac:dyDescent="0.2">
      <c r="B346" s="38"/>
      <c r="C346" s="28" t="str">
        <f t="shared" si="1"/>
        <v/>
      </c>
      <c r="D346" s="38"/>
      <c r="E346" s="53"/>
      <c r="F346" s="38"/>
      <c r="G346" s="31" t="e">
        <f ca="1">_xludf.IFNA(VLOOKUP(F346,'Category Setup'!B:D,3,0), "")</f>
        <v>#NAME?</v>
      </c>
      <c r="H346" s="38"/>
    </row>
    <row r="347" spans="2:8" ht="15.75" customHeight="1" x14ac:dyDescent="0.2">
      <c r="B347" s="47"/>
      <c r="C347" s="34" t="str">
        <f t="shared" si="1"/>
        <v/>
      </c>
      <c r="D347" s="47"/>
      <c r="E347" s="52"/>
      <c r="F347" s="47"/>
      <c r="G347" s="36" t="e">
        <f ca="1">_xludf.IFNA(VLOOKUP(F347,'Category Setup'!B:D,3,0), "")</f>
        <v>#NAME?</v>
      </c>
      <c r="H347" s="47"/>
    </row>
    <row r="348" spans="2:8" ht="15.75" customHeight="1" x14ac:dyDescent="0.2">
      <c r="B348" s="38"/>
      <c r="C348" s="28" t="str">
        <f t="shared" si="1"/>
        <v/>
      </c>
      <c r="D348" s="38"/>
      <c r="E348" s="53"/>
      <c r="F348" s="38"/>
      <c r="G348" s="31" t="e">
        <f ca="1">_xludf.IFNA(VLOOKUP(F348,'Category Setup'!B:D,3,0), "")</f>
        <v>#NAME?</v>
      </c>
      <c r="H348" s="38"/>
    </row>
    <row r="349" spans="2:8" ht="15.75" customHeight="1" x14ac:dyDescent="0.2">
      <c r="B349" s="47"/>
      <c r="C349" s="34" t="str">
        <f t="shared" si="1"/>
        <v/>
      </c>
      <c r="D349" s="47"/>
      <c r="E349" s="52"/>
      <c r="F349" s="47"/>
      <c r="G349" s="36" t="e">
        <f ca="1">_xludf.IFNA(VLOOKUP(F349,'Category Setup'!B:D,3,0), "")</f>
        <v>#NAME?</v>
      </c>
      <c r="H349" s="47"/>
    </row>
    <row r="350" spans="2:8" ht="15.75" customHeight="1" x14ac:dyDescent="0.2">
      <c r="B350" s="38"/>
      <c r="C350" s="28" t="str">
        <f t="shared" si="1"/>
        <v/>
      </c>
      <c r="D350" s="38"/>
      <c r="E350" s="53"/>
      <c r="F350" s="38"/>
      <c r="G350" s="31" t="e">
        <f ca="1">_xludf.IFNA(VLOOKUP(F350,'Category Setup'!B:D,3,0), "")</f>
        <v>#NAME?</v>
      </c>
      <c r="H350" s="38"/>
    </row>
    <row r="351" spans="2:8" ht="15.75" customHeight="1" x14ac:dyDescent="0.2">
      <c r="B351" s="47"/>
      <c r="C351" s="34" t="str">
        <f t="shared" si="1"/>
        <v/>
      </c>
      <c r="D351" s="47"/>
      <c r="E351" s="52"/>
      <c r="F351" s="47"/>
      <c r="G351" s="36" t="e">
        <f ca="1">_xludf.IFNA(VLOOKUP(F351,'Category Setup'!B:D,3,0), "")</f>
        <v>#NAME?</v>
      </c>
      <c r="H351" s="47"/>
    </row>
    <row r="352" spans="2:8" ht="15.75" customHeight="1" x14ac:dyDescent="0.2">
      <c r="B352" s="38"/>
      <c r="C352" s="28" t="str">
        <f t="shared" si="1"/>
        <v/>
      </c>
      <c r="D352" s="38"/>
      <c r="E352" s="53"/>
      <c r="F352" s="38"/>
      <c r="G352" s="31" t="e">
        <f ca="1">_xludf.IFNA(VLOOKUP(F352,'Category Setup'!B:D,3,0), "")</f>
        <v>#NAME?</v>
      </c>
      <c r="H352" s="38"/>
    </row>
    <row r="353" spans="2:8" ht="15.75" customHeight="1" x14ac:dyDescent="0.2">
      <c r="B353" s="47"/>
      <c r="C353" s="34" t="str">
        <f t="shared" si="1"/>
        <v/>
      </c>
      <c r="D353" s="47"/>
      <c r="E353" s="52"/>
      <c r="F353" s="47"/>
      <c r="G353" s="36" t="e">
        <f ca="1">_xludf.IFNA(VLOOKUP(F353,'Category Setup'!B:D,3,0), "")</f>
        <v>#NAME?</v>
      </c>
      <c r="H353" s="47"/>
    </row>
    <row r="354" spans="2:8" ht="15.75" customHeight="1" x14ac:dyDescent="0.2">
      <c r="B354" s="38"/>
      <c r="C354" s="28" t="str">
        <f t="shared" si="1"/>
        <v/>
      </c>
      <c r="D354" s="38"/>
      <c r="E354" s="53"/>
      <c r="F354" s="38"/>
      <c r="G354" s="31" t="e">
        <f ca="1">_xludf.IFNA(VLOOKUP(F354,'Category Setup'!B:D,3,0), "")</f>
        <v>#NAME?</v>
      </c>
      <c r="H354" s="38"/>
    </row>
    <row r="355" spans="2:8" ht="15.75" customHeight="1" x14ac:dyDescent="0.2">
      <c r="B355" s="47"/>
      <c r="C355" s="34" t="str">
        <f t="shared" si="1"/>
        <v/>
      </c>
      <c r="D355" s="47"/>
      <c r="E355" s="52"/>
      <c r="F355" s="47"/>
      <c r="G355" s="36" t="e">
        <f ca="1">_xludf.IFNA(VLOOKUP(F355,'Category Setup'!B:D,3,0), "")</f>
        <v>#NAME?</v>
      </c>
      <c r="H355" s="47"/>
    </row>
    <row r="356" spans="2:8" ht="15.75" customHeight="1" x14ac:dyDescent="0.2">
      <c r="B356" s="38"/>
      <c r="C356" s="28" t="str">
        <f t="shared" si="1"/>
        <v/>
      </c>
      <c r="D356" s="38"/>
      <c r="E356" s="53"/>
      <c r="F356" s="38"/>
      <c r="G356" s="31" t="e">
        <f ca="1">_xludf.IFNA(VLOOKUP(F356,'Category Setup'!B:D,3,0), "")</f>
        <v>#NAME?</v>
      </c>
      <c r="H356" s="38"/>
    </row>
    <row r="357" spans="2:8" ht="15.75" customHeight="1" x14ac:dyDescent="0.2">
      <c r="B357" s="47"/>
      <c r="C357" s="34" t="str">
        <f t="shared" si="1"/>
        <v/>
      </c>
      <c r="D357" s="47"/>
      <c r="E357" s="52"/>
      <c r="F357" s="47"/>
      <c r="G357" s="36" t="e">
        <f ca="1">_xludf.IFNA(VLOOKUP(F357,'Category Setup'!B:D,3,0), "")</f>
        <v>#NAME?</v>
      </c>
      <c r="H357" s="47"/>
    </row>
    <row r="358" spans="2:8" ht="15.75" customHeight="1" x14ac:dyDescent="0.2">
      <c r="B358" s="38"/>
      <c r="C358" s="28" t="str">
        <f t="shared" si="1"/>
        <v/>
      </c>
      <c r="D358" s="38"/>
      <c r="E358" s="53"/>
      <c r="F358" s="38"/>
      <c r="G358" s="31" t="e">
        <f ca="1">_xludf.IFNA(VLOOKUP(F358,'Category Setup'!B:D,3,0), "")</f>
        <v>#NAME?</v>
      </c>
      <c r="H358" s="38"/>
    </row>
    <row r="359" spans="2:8" ht="15.75" customHeight="1" x14ac:dyDescent="0.2">
      <c r="B359" s="47"/>
      <c r="C359" s="34" t="str">
        <f t="shared" si="1"/>
        <v/>
      </c>
      <c r="D359" s="47"/>
      <c r="E359" s="52"/>
      <c r="F359" s="47"/>
      <c r="G359" s="36" t="e">
        <f ca="1">_xludf.IFNA(VLOOKUP(F359,'Category Setup'!B:D,3,0), "")</f>
        <v>#NAME?</v>
      </c>
      <c r="H359" s="47"/>
    </row>
    <row r="360" spans="2:8" ht="15.75" customHeight="1" x14ac:dyDescent="0.2">
      <c r="B360" s="38"/>
      <c r="C360" s="28" t="str">
        <f t="shared" si="1"/>
        <v/>
      </c>
      <c r="D360" s="38"/>
      <c r="E360" s="53"/>
      <c r="F360" s="38"/>
      <c r="G360" s="31" t="e">
        <f ca="1">_xludf.IFNA(VLOOKUP(F360,'Category Setup'!B:D,3,0), "")</f>
        <v>#NAME?</v>
      </c>
      <c r="H360" s="38"/>
    </row>
    <row r="361" spans="2:8" ht="15.75" customHeight="1" x14ac:dyDescent="0.2">
      <c r="B361" s="47"/>
      <c r="C361" s="34" t="str">
        <f t="shared" si="1"/>
        <v/>
      </c>
      <c r="D361" s="47"/>
      <c r="E361" s="52"/>
      <c r="F361" s="47"/>
      <c r="G361" s="36" t="e">
        <f ca="1">_xludf.IFNA(VLOOKUP(F361,'Category Setup'!B:D,3,0), "")</f>
        <v>#NAME?</v>
      </c>
      <c r="H361" s="47"/>
    </row>
    <row r="362" spans="2:8" ht="15.75" customHeight="1" x14ac:dyDescent="0.2">
      <c r="B362" s="38"/>
      <c r="C362" s="28" t="str">
        <f t="shared" si="1"/>
        <v/>
      </c>
      <c r="D362" s="38"/>
      <c r="E362" s="53"/>
      <c r="F362" s="38"/>
      <c r="G362" s="31" t="e">
        <f ca="1">_xludf.IFNA(VLOOKUP(F362,'Category Setup'!B:D,3,0), "")</f>
        <v>#NAME?</v>
      </c>
      <c r="H362" s="38"/>
    </row>
    <row r="363" spans="2:8" ht="15.75" customHeight="1" x14ac:dyDescent="0.2">
      <c r="B363" s="47"/>
      <c r="C363" s="34" t="str">
        <f t="shared" si="1"/>
        <v/>
      </c>
      <c r="D363" s="47"/>
      <c r="E363" s="52"/>
      <c r="F363" s="47"/>
      <c r="G363" s="36" t="e">
        <f ca="1">_xludf.IFNA(VLOOKUP(F363,'Category Setup'!B:D,3,0), "")</f>
        <v>#NAME?</v>
      </c>
      <c r="H363" s="47"/>
    </row>
    <row r="364" spans="2:8" ht="15.75" customHeight="1" x14ac:dyDescent="0.2">
      <c r="B364" s="38"/>
      <c r="C364" s="28" t="str">
        <f t="shared" si="1"/>
        <v/>
      </c>
      <c r="D364" s="38"/>
      <c r="E364" s="53"/>
      <c r="F364" s="38"/>
      <c r="G364" s="31" t="e">
        <f ca="1">_xludf.IFNA(VLOOKUP(F364,'Category Setup'!B:D,3,0), "")</f>
        <v>#NAME?</v>
      </c>
      <c r="H364" s="38"/>
    </row>
    <row r="365" spans="2:8" ht="15.75" customHeight="1" x14ac:dyDescent="0.2">
      <c r="B365" s="47"/>
      <c r="C365" s="34" t="str">
        <f t="shared" si="1"/>
        <v/>
      </c>
      <c r="D365" s="47"/>
      <c r="E365" s="52"/>
      <c r="F365" s="47"/>
      <c r="G365" s="36" t="e">
        <f ca="1">_xludf.IFNA(VLOOKUP(F365,'Category Setup'!B:D,3,0), "")</f>
        <v>#NAME?</v>
      </c>
      <c r="H365" s="47"/>
    </row>
    <row r="366" spans="2:8" ht="15.75" customHeight="1" x14ac:dyDescent="0.2">
      <c r="B366" s="38"/>
      <c r="C366" s="28" t="str">
        <f t="shared" si="1"/>
        <v/>
      </c>
      <c r="D366" s="38"/>
      <c r="E366" s="53"/>
      <c r="F366" s="38"/>
      <c r="G366" s="31" t="e">
        <f ca="1">_xludf.IFNA(VLOOKUP(F366,'Category Setup'!B:D,3,0), "")</f>
        <v>#NAME?</v>
      </c>
      <c r="H366" s="38"/>
    </row>
    <row r="367" spans="2:8" ht="15.75" customHeight="1" x14ac:dyDescent="0.2">
      <c r="B367" s="47"/>
      <c r="C367" s="34" t="str">
        <f t="shared" si="1"/>
        <v/>
      </c>
      <c r="D367" s="47"/>
      <c r="E367" s="52"/>
      <c r="F367" s="47"/>
      <c r="G367" s="36" t="e">
        <f ca="1">_xludf.IFNA(VLOOKUP(F367,'Category Setup'!B:D,3,0), "")</f>
        <v>#NAME?</v>
      </c>
      <c r="H367" s="47"/>
    </row>
    <row r="368" spans="2:8" ht="15.75" customHeight="1" x14ac:dyDescent="0.2">
      <c r="B368" s="38"/>
      <c r="C368" s="28" t="str">
        <f t="shared" si="1"/>
        <v/>
      </c>
      <c r="D368" s="38"/>
      <c r="E368" s="53"/>
      <c r="F368" s="38"/>
      <c r="G368" s="31" t="e">
        <f ca="1">_xludf.IFNA(VLOOKUP(F368,'Category Setup'!B:D,3,0), "")</f>
        <v>#NAME?</v>
      </c>
      <c r="H368" s="38"/>
    </row>
    <row r="369" spans="2:8" ht="15.75" customHeight="1" x14ac:dyDescent="0.2">
      <c r="B369" s="47"/>
      <c r="C369" s="34" t="str">
        <f t="shared" si="1"/>
        <v/>
      </c>
      <c r="D369" s="47"/>
      <c r="E369" s="52"/>
      <c r="F369" s="47"/>
      <c r="G369" s="36" t="e">
        <f ca="1">_xludf.IFNA(VLOOKUP(F369,'Category Setup'!B:D,3,0), "")</f>
        <v>#NAME?</v>
      </c>
      <c r="H369" s="47"/>
    </row>
    <row r="370" spans="2:8" ht="15.75" customHeight="1" x14ac:dyDescent="0.2">
      <c r="B370" s="38"/>
      <c r="C370" s="28" t="str">
        <f t="shared" si="1"/>
        <v/>
      </c>
      <c r="D370" s="38"/>
      <c r="E370" s="53"/>
      <c r="F370" s="38"/>
      <c r="G370" s="31" t="e">
        <f ca="1">_xludf.IFNA(VLOOKUP(F370,'Category Setup'!B:D,3,0), "")</f>
        <v>#NAME?</v>
      </c>
      <c r="H370" s="38"/>
    </row>
    <row r="371" spans="2:8" ht="15.75" customHeight="1" x14ac:dyDescent="0.2">
      <c r="B371" s="47"/>
      <c r="C371" s="34" t="str">
        <f t="shared" si="1"/>
        <v/>
      </c>
      <c r="D371" s="47"/>
      <c r="E371" s="52"/>
      <c r="F371" s="47"/>
      <c r="G371" s="36" t="e">
        <f ca="1">_xludf.IFNA(VLOOKUP(F371,'Category Setup'!B:D,3,0), "")</f>
        <v>#NAME?</v>
      </c>
      <c r="H371" s="47"/>
    </row>
    <row r="372" spans="2:8" ht="15.75" customHeight="1" x14ac:dyDescent="0.2">
      <c r="B372" s="38"/>
      <c r="C372" s="28" t="str">
        <f t="shared" si="1"/>
        <v/>
      </c>
      <c r="D372" s="38"/>
      <c r="E372" s="53"/>
      <c r="F372" s="38"/>
      <c r="G372" s="31" t="e">
        <f ca="1">_xludf.IFNA(VLOOKUP(F372,'Category Setup'!B:D,3,0), "")</f>
        <v>#NAME?</v>
      </c>
      <c r="H372" s="38"/>
    </row>
    <row r="373" spans="2:8" ht="15.75" customHeight="1" x14ac:dyDescent="0.2">
      <c r="B373" s="47"/>
      <c r="C373" s="34" t="str">
        <f t="shared" si="1"/>
        <v/>
      </c>
      <c r="D373" s="47"/>
      <c r="E373" s="52"/>
      <c r="F373" s="47"/>
      <c r="G373" s="36" t="e">
        <f ca="1">_xludf.IFNA(VLOOKUP(F373,'Category Setup'!B:D,3,0), "")</f>
        <v>#NAME?</v>
      </c>
      <c r="H373" s="47"/>
    </row>
    <row r="374" spans="2:8" ht="15.75" customHeight="1" x14ac:dyDescent="0.2">
      <c r="B374" s="38"/>
      <c r="C374" s="28" t="str">
        <f t="shared" si="1"/>
        <v/>
      </c>
      <c r="D374" s="38"/>
      <c r="E374" s="53"/>
      <c r="F374" s="38"/>
      <c r="G374" s="31" t="e">
        <f ca="1">_xludf.IFNA(VLOOKUP(F374,'Category Setup'!B:D,3,0), "")</f>
        <v>#NAME?</v>
      </c>
      <c r="H374" s="38"/>
    </row>
    <row r="375" spans="2:8" ht="15.75" customHeight="1" x14ac:dyDescent="0.2">
      <c r="B375" s="47"/>
      <c r="C375" s="34" t="str">
        <f t="shared" si="1"/>
        <v/>
      </c>
      <c r="D375" s="47"/>
      <c r="E375" s="52"/>
      <c r="F375" s="47"/>
      <c r="G375" s="36" t="e">
        <f ca="1">_xludf.IFNA(VLOOKUP(F375,'Category Setup'!B:D,3,0), "")</f>
        <v>#NAME?</v>
      </c>
      <c r="H375" s="47"/>
    </row>
    <row r="376" spans="2:8" ht="15.75" customHeight="1" x14ac:dyDescent="0.2">
      <c r="B376" s="38"/>
      <c r="C376" s="28" t="str">
        <f t="shared" si="1"/>
        <v/>
      </c>
      <c r="D376" s="38"/>
      <c r="E376" s="53"/>
      <c r="F376" s="38"/>
      <c r="G376" s="31" t="e">
        <f ca="1">_xludf.IFNA(VLOOKUP(F376,'Category Setup'!B:D,3,0), "")</f>
        <v>#NAME?</v>
      </c>
      <c r="H376" s="38"/>
    </row>
    <row r="377" spans="2:8" ht="15.75" customHeight="1" x14ac:dyDescent="0.2">
      <c r="B377" s="47"/>
      <c r="C377" s="34" t="str">
        <f t="shared" si="1"/>
        <v/>
      </c>
      <c r="D377" s="47"/>
      <c r="E377" s="52"/>
      <c r="F377" s="47"/>
      <c r="G377" s="36" t="e">
        <f ca="1">_xludf.IFNA(VLOOKUP(F377,'Category Setup'!B:D,3,0), "")</f>
        <v>#NAME?</v>
      </c>
      <c r="H377" s="47"/>
    </row>
    <row r="378" spans="2:8" ht="15.75" customHeight="1" x14ac:dyDescent="0.2">
      <c r="B378" s="38"/>
      <c r="C378" s="28" t="str">
        <f t="shared" si="1"/>
        <v/>
      </c>
      <c r="D378" s="38"/>
      <c r="E378" s="53"/>
      <c r="F378" s="38"/>
      <c r="G378" s="31" t="e">
        <f ca="1">_xludf.IFNA(VLOOKUP(F378,'Category Setup'!B:D,3,0), "")</f>
        <v>#NAME?</v>
      </c>
      <c r="H378" s="38"/>
    </row>
    <row r="379" spans="2:8" ht="15.75" customHeight="1" x14ac:dyDescent="0.2">
      <c r="B379" s="47"/>
      <c r="C379" s="34" t="str">
        <f t="shared" si="1"/>
        <v/>
      </c>
      <c r="D379" s="47"/>
      <c r="E379" s="52"/>
      <c r="F379" s="47"/>
      <c r="G379" s="36" t="e">
        <f ca="1">_xludf.IFNA(VLOOKUP(F379,'Category Setup'!B:D,3,0), "")</f>
        <v>#NAME?</v>
      </c>
      <c r="H379" s="47"/>
    </row>
    <row r="380" spans="2:8" ht="15.75" customHeight="1" x14ac:dyDescent="0.2">
      <c r="B380" s="38"/>
      <c r="C380" s="28" t="str">
        <f t="shared" si="1"/>
        <v/>
      </c>
      <c r="D380" s="38"/>
      <c r="E380" s="53"/>
      <c r="F380" s="38"/>
      <c r="G380" s="31" t="e">
        <f ca="1">_xludf.IFNA(VLOOKUP(F380,'Category Setup'!B:D,3,0), "")</f>
        <v>#NAME?</v>
      </c>
      <c r="H380" s="38"/>
    </row>
    <row r="381" spans="2:8" ht="15.75" customHeight="1" x14ac:dyDescent="0.2">
      <c r="B381" s="47"/>
      <c r="C381" s="34" t="str">
        <f t="shared" si="1"/>
        <v/>
      </c>
      <c r="D381" s="47"/>
      <c r="E381" s="52"/>
      <c r="F381" s="47"/>
      <c r="G381" s="36" t="e">
        <f ca="1">_xludf.IFNA(VLOOKUP(F381,'Category Setup'!B:D,3,0), "")</f>
        <v>#NAME?</v>
      </c>
      <c r="H381" s="47"/>
    </row>
    <row r="382" spans="2:8" ht="15.75" customHeight="1" x14ac:dyDescent="0.2">
      <c r="B382" s="38"/>
      <c r="C382" s="28" t="str">
        <f t="shared" si="1"/>
        <v/>
      </c>
      <c r="D382" s="38"/>
      <c r="E382" s="53"/>
      <c r="F382" s="38"/>
      <c r="G382" s="31" t="e">
        <f ca="1">_xludf.IFNA(VLOOKUP(F382,'Category Setup'!B:D,3,0), "")</f>
        <v>#NAME?</v>
      </c>
      <c r="H382" s="38"/>
    </row>
    <row r="383" spans="2:8" ht="15.75" customHeight="1" x14ac:dyDescent="0.2">
      <c r="B383" s="47"/>
      <c r="C383" s="34" t="str">
        <f t="shared" si="1"/>
        <v/>
      </c>
      <c r="D383" s="47"/>
      <c r="E383" s="52"/>
      <c r="F383" s="47"/>
      <c r="G383" s="36" t="e">
        <f ca="1">_xludf.IFNA(VLOOKUP(F383,'Category Setup'!B:D,3,0), "")</f>
        <v>#NAME?</v>
      </c>
      <c r="H383" s="47"/>
    </row>
    <row r="384" spans="2:8" ht="15.75" customHeight="1" x14ac:dyDescent="0.2">
      <c r="B384" s="38"/>
      <c r="C384" s="28" t="str">
        <f t="shared" si="1"/>
        <v/>
      </c>
      <c r="D384" s="38"/>
      <c r="E384" s="53"/>
      <c r="F384" s="38"/>
      <c r="G384" s="31" t="e">
        <f ca="1">_xludf.IFNA(VLOOKUP(F384,'Category Setup'!B:D,3,0), "")</f>
        <v>#NAME?</v>
      </c>
      <c r="H384" s="38"/>
    </row>
    <row r="385" spans="2:8" ht="15.75" customHeight="1" x14ac:dyDescent="0.2">
      <c r="B385" s="47"/>
      <c r="C385" s="34" t="str">
        <f t="shared" si="1"/>
        <v/>
      </c>
      <c r="D385" s="47"/>
      <c r="E385" s="52"/>
      <c r="F385" s="47"/>
      <c r="G385" s="36" t="e">
        <f ca="1">_xludf.IFNA(VLOOKUP(F385,'Category Setup'!B:D,3,0), "")</f>
        <v>#NAME?</v>
      </c>
      <c r="H385" s="47"/>
    </row>
    <row r="386" spans="2:8" ht="15.75" customHeight="1" x14ac:dyDescent="0.2">
      <c r="B386" s="38"/>
      <c r="C386" s="28" t="str">
        <f t="shared" si="1"/>
        <v/>
      </c>
      <c r="D386" s="38"/>
      <c r="E386" s="53"/>
      <c r="F386" s="38"/>
      <c r="G386" s="31" t="e">
        <f ca="1">_xludf.IFNA(VLOOKUP(F386,'Category Setup'!B:D,3,0), "")</f>
        <v>#NAME?</v>
      </c>
      <c r="H386" s="38"/>
    </row>
    <row r="387" spans="2:8" ht="15.75" customHeight="1" x14ac:dyDescent="0.2">
      <c r="B387" s="47"/>
      <c r="C387" s="34" t="str">
        <f t="shared" si="1"/>
        <v/>
      </c>
      <c r="D387" s="47"/>
      <c r="E387" s="52"/>
      <c r="F387" s="47"/>
      <c r="G387" s="36" t="e">
        <f ca="1">_xludf.IFNA(VLOOKUP(F387,'Category Setup'!B:D,3,0), "")</f>
        <v>#NAME?</v>
      </c>
      <c r="H387" s="47"/>
    </row>
    <row r="388" spans="2:8" ht="15.75" customHeight="1" x14ac:dyDescent="0.2">
      <c r="B388" s="38"/>
      <c r="C388" s="28" t="str">
        <f t="shared" si="1"/>
        <v/>
      </c>
      <c r="D388" s="38"/>
      <c r="E388" s="53"/>
      <c r="F388" s="38"/>
      <c r="G388" s="31" t="e">
        <f ca="1">_xludf.IFNA(VLOOKUP(F388,'Category Setup'!B:D,3,0), "")</f>
        <v>#NAME?</v>
      </c>
      <c r="H388" s="38"/>
    </row>
    <row r="389" spans="2:8" ht="15.75" customHeight="1" x14ac:dyDescent="0.2">
      <c r="B389" s="47"/>
      <c r="C389" s="34" t="str">
        <f t="shared" si="1"/>
        <v/>
      </c>
      <c r="D389" s="47"/>
      <c r="E389" s="52"/>
      <c r="F389" s="47"/>
      <c r="G389" s="36" t="e">
        <f ca="1">_xludf.IFNA(VLOOKUP(F389,'Category Setup'!B:D,3,0), "")</f>
        <v>#NAME?</v>
      </c>
      <c r="H389" s="47"/>
    </row>
    <row r="390" spans="2:8" ht="15.75" customHeight="1" x14ac:dyDescent="0.2">
      <c r="B390" s="38"/>
      <c r="C390" s="28" t="str">
        <f t="shared" si="1"/>
        <v/>
      </c>
      <c r="D390" s="38"/>
      <c r="E390" s="53"/>
      <c r="F390" s="38"/>
      <c r="G390" s="31" t="e">
        <f ca="1">_xludf.IFNA(VLOOKUP(F390,'Category Setup'!B:D,3,0), "")</f>
        <v>#NAME?</v>
      </c>
      <c r="H390" s="38"/>
    </row>
    <row r="391" spans="2:8" ht="15.75" customHeight="1" x14ac:dyDescent="0.2">
      <c r="B391" s="47"/>
      <c r="C391" s="34" t="str">
        <f t="shared" si="1"/>
        <v/>
      </c>
      <c r="D391" s="47"/>
      <c r="E391" s="52"/>
      <c r="F391" s="47"/>
      <c r="G391" s="36" t="e">
        <f ca="1">_xludf.IFNA(VLOOKUP(F391,'Category Setup'!B:D,3,0), "")</f>
        <v>#NAME?</v>
      </c>
      <c r="H391" s="47"/>
    </row>
    <row r="392" spans="2:8" ht="15.75" customHeight="1" x14ac:dyDescent="0.2">
      <c r="B392" s="38"/>
      <c r="C392" s="28" t="str">
        <f t="shared" si="1"/>
        <v/>
      </c>
      <c r="D392" s="38"/>
      <c r="E392" s="53"/>
      <c r="F392" s="38"/>
      <c r="G392" s="31" t="e">
        <f ca="1">_xludf.IFNA(VLOOKUP(F392,'Category Setup'!B:D,3,0), "")</f>
        <v>#NAME?</v>
      </c>
      <c r="H392" s="38"/>
    </row>
    <row r="393" spans="2:8" ht="15.75" customHeight="1" x14ac:dyDescent="0.2">
      <c r="B393" s="47"/>
      <c r="C393" s="34" t="str">
        <f t="shared" si="1"/>
        <v/>
      </c>
      <c r="D393" s="47"/>
      <c r="E393" s="52"/>
      <c r="F393" s="47"/>
      <c r="G393" s="36" t="e">
        <f ca="1">_xludf.IFNA(VLOOKUP(F393,'Category Setup'!B:D,3,0), "")</f>
        <v>#NAME?</v>
      </c>
      <c r="H393" s="47"/>
    </row>
    <row r="394" spans="2:8" ht="15.75" customHeight="1" x14ac:dyDescent="0.2">
      <c r="B394" s="38"/>
      <c r="C394" s="28" t="str">
        <f t="shared" si="1"/>
        <v/>
      </c>
      <c r="D394" s="38"/>
      <c r="E394" s="53"/>
      <c r="F394" s="38"/>
      <c r="G394" s="31" t="e">
        <f ca="1">_xludf.IFNA(VLOOKUP(F394,'Category Setup'!B:D,3,0), "")</f>
        <v>#NAME?</v>
      </c>
      <c r="H394" s="38"/>
    </row>
    <row r="395" spans="2:8" ht="15.75" customHeight="1" x14ac:dyDescent="0.2">
      <c r="B395" s="47"/>
      <c r="C395" s="34" t="str">
        <f t="shared" si="1"/>
        <v/>
      </c>
      <c r="D395" s="47"/>
      <c r="E395" s="52"/>
      <c r="F395" s="47"/>
      <c r="G395" s="36" t="e">
        <f ca="1">_xludf.IFNA(VLOOKUP(F395,'Category Setup'!B:D,3,0), "")</f>
        <v>#NAME?</v>
      </c>
      <c r="H395" s="47"/>
    </row>
    <row r="396" spans="2:8" ht="15.75" customHeight="1" x14ac:dyDescent="0.2">
      <c r="B396" s="38"/>
      <c r="C396" s="28" t="str">
        <f t="shared" si="1"/>
        <v/>
      </c>
      <c r="D396" s="38"/>
      <c r="E396" s="53"/>
      <c r="F396" s="38"/>
      <c r="G396" s="31" t="e">
        <f ca="1">_xludf.IFNA(VLOOKUP(F396,'Category Setup'!B:D,3,0), "")</f>
        <v>#NAME?</v>
      </c>
      <c r="H396" s="38"/>
    </row>
    <row r="397" spans="2:8" ht="15.75" customHeight="1" x14ac:dyDescent="0.2">
      <c r="B397" s="47"/>
      <c r="C397" s="34" t="str">
        <f t="shared" si="1"/>
        <v/>
      </c>
      <c r="D397" s="47"/>
      <c r="E397" s="52"/>
      <c r="F397" s="47"/>
      <c r="G397" s="36" t="e">
        <f ca="1">_xludf.IFNA(VLOOKUP(F397,'Category Setup'!B:D,3,0), "")</f>
        <v>#NAME?</v>
      </c>
      <c r="H397" s="47"/>
    </row>
    <row r="398" spans="2:8" ht="15.75" customHeight="1" x14ac:dyDescent="0.2">
      <c r="B398" s="38"/>
      <c r="C398" s="28" t="str">
        <f t="shared" si="1"/>
        <v/>
      </c>
      <c r="D398" s="38"/>
      <c r="E398" s="53"/>
      <c r="F398" s="38"/>
      <c r="G398" s="31" t="e">
        <f ca="1">_xludf.IFNA(VLOOKUP(F398,'Category Setup'!B:D,3,0), "")</f>
        <v>#NAME?</v>
      </c>
      <c r="H398" s="38"/>
    </row>
    <row r="399" spans="2:8" ht="15.75" customHeight="1" x14ac:dyDescent="0.2">
      <c r="B399" s="47"/>
      <c r="C399" s="34" t="str">
        <f t="shared" si="1"/>
        <v/>
      </c>
      <c r="D399" s="47"/>
      <c r="E399" s="52"/>
      <c r="F399" s="47"/>
      <c r="G399" s="36" t="e">
        <f ca="1">_xludf.IFNA(VLOOKUP(F399,'Category Setup'!B:D,3,0), "")</f>
        <v>#NAME?</v>
      </c>
      <c r="H399" s="47"/>
    </row>
    <row r="400" spans="2:8" ht="15.75" customHeight="1" x14ac:dyDescent="0.2">
      <c r="B400" s="38"/>
      <c r="C400" s="28" t="str">
        <f t="shared" si="1"/>
        <v/>
      </c>
      <c r="D400" s="38"/>
      <c r="E400" s="53"/>
      <c r="F400" s="38"/>
      <c r="G400" s="31" t="e">
        <f ca="1">_xludf.IFNA(VLOOKUP(F400,'Category Setup'!B:D,3,0), "")</f>
        <v>#NAME?</v>
      </c>
      <c r="H400" s="38"/>
    </row>
    <row r="401" spans="2:8" ht="15.75" customHeight="1" x14ac:dyDescent="0.2">
      <c r="B401" s="47"/>
      <c r="C401" s="34" t="str">
        <f t="shared" si="1"/>
        <v/>
      </c>
      <c r="D401" s="47"/>
      <c r="E401" s="52"/>
      <c r="F401" s="47"/>
      <c r="G401" s="36" t="e">
        <f ca="1">_xludf.IFNA(VLOOKUP(F401,'Category Setup'!B:D,3,0), "")</f>
        <v>#NAME?</v>
      </c>
      <c r="H401" s="47"/>
    </row>
    <row r="402" spans="2:8" ht="15.75" customHeight="1" x14ac:dyDescent="0.2">
      <c r="B402" s="38"/>
      <c r="C402" s="28" t="str">
        <f t="shared" si="1"/>
        <v/>
      </c>
      <c r="D402" s="38"/>
      <c r="E402" s="53"/>
      <c r="F402" s="38"/>
      <c r="G402" s="31" t="e">
        <f ca="1">_xludf.IFNA(VLOOKUP(F402,'Category Setup'!B:D,3,0), "")</f>
        <v>#NAME?</v>
      </c>
      <c r="H402" s="38"/>
    </row>
    <row r="403" spans="2:8" ht="15.75" customHeight="1" x14ac:dyDescent="0.2">
      <c r="B403" s="47"/>
      <c r="C403" s="34" t="str">
        <f t="shared" si="1"/>
        <v/>
      </c>
      <c r="D403" s="47"/>
      <c r="E403" s="52"/>
      <c r="F403" s="47"/>
      <c r="G403" s="36" t="e">
        <f ca="1">_xludf.IFNA(VLOOKUP(F403,'Category Setup'!B:D,3,0), "")</f>
        <v>#NAME?</v>
      </c>
      <c r="H403" s="47"/>
    </row>
    <row r="404" spans="2:8" ht="15.75" customHeight="1" x14ac:dyDescent="0.2">
      <c r="B404" s="38"/>
      <c r="C404" s="28" t="str">
        <f t="shared" si="1"/>
        <v/>
      </c>
      <c r="D404" s="38"/>
      <c r="E404" s="53"/>
      <c r="F404" s="38"/>
      <c r="G404" s="31" t="e">
        <f ca="1">_xludf.IFNA(VLOOKUP(F404,'Category Setup'!B:D,3,0), "")</f>
        <v>#NAME?</v>
      </c>
      <c r="H404" s="38"/>
    </row>
    <row r="405" spans="2:8" ht="15.75" customHeight="1" x14ac:dyDescent="0.2">
      <c r="B405" s="47"/>
      <c r="C405" s="34" t="str">
        <f t="shared" si="1"/>
        <v/>
      </c>
      <c r="D405" s="47"/>
      <c r="E405" s="52"/>
      <c r="F405" s="47"/>
      <c r="G405" s="36" t="e">
        <f ca="1">_xludf.IFNA(VLOOKUP(F405,'Category Setup'!B:D,3,0), "")</f>
        <v>#NAME?</v>
      </c>
      <c r="H405" s="47"/>
    </row>
    <row r="406" spans="2:8" ht="15.75" customHeight="1" x14ac:dyDescent="0.2">
      <c r="B406" s="38"/>
      <c r="C406" s="28" t="str">
        <f t="shared" si="1"/>
        <v/>
      </c>
      <c r="D406" s="38"/>
      <c r="E406" s="53"/>
      <c r="F406" s="38"/>
      <c r="G406" s="31" t="e">
        <f ca="1">_xludf.IFNA(VLOOKUP(F406,'Category Setup'!B:D,3,0), "")</f>
        <v>#NAME?</v>
      </c>
      <c r="H406" s="38"/>
    </row>
    <row r="407" spans="2:8" ht="15.75" customHeight="1" x14ac:dyDescent="0.2">
      <c r="B407" s="47"/>
      <c r="C407" s="34" t="str">
        <f t="shared" si="1"/>
        <v/>
      </c>
      <c r="D407" s="47"/>
      <c r="E407" s="52"/>
      <c r="F407" s="47"/>
      <c r="G407" s="36" t="e">
        <f ca="1">_xludf.IFNA(VLOOKUP(F407,'Category Setup'!B:D,3,0), "")</f>
        <v>#NAME?</v>
      </c>
      <c r="H407" s="47"/>
    </row>
    <row r="408" spans="2:8" ht="15.75" customHeight="1" x14ac:dyDescent="0.2">
      <c r="B408" s="38"/>
      <c r="C408" s="28" t="str">
        <f t="shared" si="1"/>
        <v/>
      </c>
      <c r="D408" s="38"/>
      <c r="E408" s="53"/>
      <c r="F408" s="38"/>
      <c r="G408" s="31" t="e">
        <f ca="1">_xludf.IFNA(VLOOKUP(F408,'Category Setup'!B:D,3,0), "")</f>
        <v>#NAME?</v>
      </c>
      <c r="H408" s="38"/>
    </row>
    <row r="409" spans="2:8" ht="15.75" customHeight="1" x14ac:dyDescent="0.2">
      <c r="B409" s="47"/>
      <c r="C409" s="34" t="str">
        <f t="shared" si="1"/>
        <v/>
      </c>
      <c r="D409" s="47"/>
      <c r="E409" s="52"/>
      <c r="F409" s="47"/>
      <c r="G409" s="36" t="e">
        <f ca="1">_xludf.IFNA(VLOOKUP(F409,'Category Setup'!B:D,3,0), "")</f>
        <v>#NAME?</v>
      </c>
      <c r="H409" s="47"/>
    </row>
    <row r="410" spans="2:8" ht="15.75" customHeight="1" x14ac:dyDescent="0.2">
      <c r="B410" s="38"/>
      <c r="C410" s="28" t="str">
        <f t="shared" si="1"/>
        <v/>
      </c>
      <c r="D410" s="38"/>
      <c r="E410" s="53"/>
      <c r="F410" s="38"/>
      <c r="G410" s="31" t="e">
        <f ca="1">_xludf.IFNA(VLOOKUP(F410,'Category Setup'!B:D,3,0), "")</f>
        <v>#NAME?</v>
      </c>
      <c r="H410" s="38"/>
    </row>
    <row r="411" spans="2:8" ht="15.75" customHeight="1" x14ac:dyDescent="0.2">
      <c r="B411" s="47"/>
      <c r="C411" s="34" t="str">
        <f t="shared" si="1"/>
        <v/>
      </c>
      <c r="D411" s="47"/>
      <c r="E411" s="52"/>
      <c r="F411" s="47"/>
      <c r="G411" s="36" t="e">
        <f ca="1">_xludf.IFNA(VLOOKUP(F411,'Category Setup'!B:D,3,0), "")</f>
        <v>#NAME?</v>
      </c>
      <c r="H411" s="47"/>
    </row>
    <row r="412" spans="2:8" ht="15.75" customHeight="1" x14ac:dyDescent="0.2">
      <c r="B412" s="38"/>
      <c r="C412" s="28" t="str">
        <f t="shared" si="1"/>
        <v/>
      </c>
      <c r="D412" s="38"/>
      <c r="E412" s="53"/>
      <c r="F412" s="38"/>
      <c r="G412" s="31" t="e">
        <f ca="1">_xludf.IFNA(VLOOKUP(F412,'Category Setup'!B:D,3,0), "")</f>
        <v>#NAME?</v>
      </c>
      <c r="H412" s="38"/>
    </row>
    <row r="413" spans="2:8" ht="15.75" customHeight="1" x14ac:dyDescent="0.2">
      <c r="B413" s="47"/>
      <c r="C413" s="34" t="str">
        <f t="shared" si="1"/>
        <v/>
      </c>
      <c r="D413" s="47"/>
      <c r="E413" s="52"/>
      <c r="F413" s="47"/>
      <c r="G413" s="36" t="e">
        <f ca="1">_xludf.IFNA(VLOOKUP(F413,'Category Setup'!B:D,3,0), "")</f>
        <v>#NAME?</v>
      </c>
      <c r="H413" s="47"/>
    </row>
    <row r="414" spans="2:8" ht="15.75" customHeight="1" x14ac:dyDescent="0.2">
      <c r="B414" s="38"/>
      <c r="C414" s="28" t="str">
        <f t="shared" si="1"/>
        <v/>
      </c>
      <c r="D414" s="38"/>
      <c r="E414" s="53"/>
      <c r="F414" s="38"/>
      <c r="G414" s="31" t="e">
        <f ca="1">_xludf.IFNA(VLOOKUP(F414,'Category Setup'!B:D,3,0), "")</f>
        <v>#NAME?</v>
      </c>
      <c r="H414" s="38"/>
    </row>
    <row r="415" spans="2:8" ht="15.75" customHeight="1" x14ac:dyDescent="0.2">
      <c r="B415" s="47"/>
      <c r="C415" s="34" t="str">
        <f t="shared" si="1"/>
        <v/>
      </c>
      <c r="D415" s="47"/>
      <c r="E415" s="52"/>
      <c r="F415" s="47"/>
      <c r="G415" s="36" t="e">
        <f ca="1">_xludf.IFNA(VLOOKUP(F415,'Category Setup'!B:D,3,0), "")</f>
        <v>#NAME?</v>
      </c>
      <c r="H415" s="47"/>
    </row>
    <row r="416" spans="2:8" ht="15.75" customHeight="1" x14ac:dyDescent="0.2">
      <c r="B416" s="38"/>
      <c r="C416" s="28" t="str">
        <f t="shared" si="1"/>
        <v/>
      </c>
      <c r="D416" s="38"/>
      <c r="E416" s="53"/>
      <c r="F416" s="38"/>
      <c r="G416" s="31" t="e">
        <f ca="1">_xludf.IFNA(VLOOKUP(F416,'Category Setup'!B:D,3,0), "")</f>
        <v>#NAME?</v>
      </c>
      <c r="H416" s="38"/>
    </row>
    <row r="417" spans="2:8" ht="15.75" customHeight="1" x14ac:dyDescent="0.2">
      <c r="B417" s="47"/>
      <c r="C417" s="34" t="str">
        <f t="shared" si="1"/>
        <v/>
      </c>
      <c r="D417" s="47"/>
      <c r="E417" s="52"/>
      <c r="F417" s="47"/>
      <c r="G417" s="36" t="e">
        <f ca="1">_xludf.IFNA(VLOOKUP(F417,'Category Setup'!B:D,3,0), "")</f>
        <v>#NAME?</v>
      </c>
      <c r="H417" s="47"/>
    </row>
    <row r="418" spans="2:8" ht="15.75" customHeight="1" x14ac:dyDescent="0.2">
      <c r="B418" s="38"/>
      <c r="C418" s="28" t="str">
        <f t="shared" si="1"/>
        <v/>
      </c>
      <c r="D418" s="38"/>
      <c r="E418" s="53"/>
      <c r="F418" s="38"/>
      <c r="G418" s="31" t="e">
        <f ca="1">_xludf.IFNA(VLOOKUP(F418,'Category Setup'!B:D,3,0), "")</f>
        <v>#NAME?</v>
      </c>
      <c r="H418" s="38"/>
    </row>
    <row r="419" spans="2:8" ht="15.75" customHeight="1" x14ac:dyDescent="0.2">
      <c r="B419" s="47"/>
      <c r="C419" s="34" t="str">
        <f t="shared" si="1"/>
        <v/>
      </c>
      <c r="D419" s="47"/>
      <c r="E419" s="52"/>
      <c r="F419" s="47"/>
      <c r="G419" s="36" t="e">
        <f ca="1">_xludf.IFNA(VLOOKUP(F419,'Category Setup'!B:D,3,0), "")</f>
        <v>#NAME?</v>
      </c>
      <c r="H419" s="47"/>
    </row>
    <row r="420" spans="2:8" ht="15.75" customHeight="1" x14ac:dyDescent="0.2">
      <c r="B420" s="38"/>
      <c r="C420" s="28" t="str">
        <f t="shared" si="1"/>
        <v/>
      </c>
      <c r="D420" s="38"/>
      <c r="E420" s="53"/>
      <c r="F420" s="38"/>
      <c r="G420" s="31" t="e">
        <f ca="1">_xludf.IFNA(VLOOKUP(F420,'Category Setup'!B:D,3,0), "")</f>
        <v>#NAME?</v>
      </c>
      <c r="H420" s="38"/>
    </row>
    <row r="421" spans="2:8" ht="15.75" customHeight="1" x14ac:dyDescent="0.2">
      <c r="B421" s="47"/>
      <c r="C421" s="34" t="str">
        <f t="shared" si="1"/>
        <v/>
      </c>
      <c r="D421" s="47"/>
      <c r="E421" s="52"/>
      <c r="F421" s="47"/>
      <c r="G421" s="36" t="e">
        <f ca="1">_xludf.IFNA(VLOOKUP(F421,'Category Setup'!B:D,3,0), "")</f>
        <v>#NAME?</v>
      </c>
      <c r="H421" s="47"/>
    </row>
    <row r="422" spans="2:8" ht="15.75" customHeight="1" x14ac:dyDescent="0.2">
      <c r="B422" s="38"/>
      <c r="C422" s="28" t="str">
        <f t="shared" si="1"/>
        <v/>
      </c>
      <c r="D422" s="38"/>
      <c r="E422" s="53"/>
      <c r="F422" s="38"/>
      <c r="G422" s="31" t="e">
        <f ca="1">_xludf.IFNA(VLOOKUP(F422,'Category Setup'!B:D,3,0), "")</f>
        <v>#NAME?</v>
      </c>
      <c r="H422" s="38"/>
    </row>
    <row r="423" spans="2:8" ht="15.75" customHeight="1" x14ac:dyDescent="0.2">
      <c r="B423" s="47"/>
      <c r="C423" s="34" t="str">
        <f t="shared" si="1"/>
        <v/>
      </c>
      <c r="D423" s="47"/>
      <c r="E423" s="52"/>
      <c r="F423" s="47"/>
      <c r="G423" s="36" t="e">
        <f ca="1">_xludf.IFNA(VLOOKUP(F423,'Category Setup'!B:D,3,0), "")</f>
        <v>#NAME?</v>
      </c>
      <c r="H423" s="47"/>
    </row>
    <row r="424" spans="2:8" ht="15.75" customHeight="1" x14ac:dyDescent="0.2">
      <c r="B424" s="38"/>
      <c r="C424" s="28" t="str">
        <f t="shared" si="1"/>
        <v/>
      </c>
      <c r="D424" s="38"/>
      <c r="E424" s="53"/>
      <c r="F424" s="38"/>
      <c r="G424" s="31" t="e">
        <f ca="1">_xludf.IFNA(VLOOKUP(F424,'Category Setup'!B:D,3,0), "")</f>
        <v>#NAME?</v>
      </c>
      <c r="H424" s="38"/>
    </row>
    <row r="425" spans="2:8" ht="15.75" customHeight="1" x14ac:dyDescent="0.2">
      <c r="B425" s="47"/>
      <c r="C425" s="34" t="str">
        <f t="shared" si="1"/>
        <v/>
      </c>
      <c r="D425" s="47"/>
      <c r="E425" s="52"/>
      <c r="F425" s="47"/>
      <c r="G425" s="36" t="e">
        <f ca="1">_xludf.IFNA(VLOOKUP(F425,'Category Setup'!B:D,3,0), "")</f>
        <v>#NAME?</v>
      </c>
      <c r="H425" s="47"/>
    </row>
    <row r="426" spans="2:8" ht="15.75" customHeight="1" x14ac:dyDescent="0.2">
      <c r="B426" s="38"/>
      <c r="C426" s="28" t="str">
        <f t="shared" si="1"/>
        <v/>
      </c>
      <c r="D426" s="38"/>
      <c r="E426" s="53"/>
      <c r="F426" s="38"/>
      <c r="G426" s="31" t="e">
        <f ca="1">_xludf.IFNA(VLOOKUP(F426,'Category Setup'!B:D,3,0), "")</f>
        <v>#NAME?</v>
      </c>
      <c r="H426" s="38"/>
    </row>
    <row r="427" spans="2:8" ht="15.75" customHeight="1" x14ac:dyDescent="0.2">
      <c r="B427" s="47"/>
      <c r="C427" s="34" t="str">
        <f t="shared" si="1"/>
        <v/>
      </c>
      <c r="D427" s="47"/>
      <c r="E427" s="52"/>
      <c r="F427" s="47"/>
      <c r="G427" s="36" t="e">
        <f ca="1">_xludf.IFNA(VLOOKUP(F427,'Category Setup'!B:D,3,0), "")</f>
        <v>#NAME?</v>
      </c>
      <c r="H427" s="47"/>
    </row>
    <row r="428" spans="2:8" ht="15.75" customHeight="1" x14ac:dyDescent="0.2">
      <c r="B428" s="38"/>
      <c r="C428" s="28" t="str">
        <f t="shared" si="1"/>
        <v/>
      </c>
      <c r="D428" s="38"/>
      <c r="E428" s="53"/>
      <c r="F428" s="38"/>
      <c r="G428" s="31" t="e">
        <f ca="1">_xludf.IFNA(VLOOKUP(F428,'Category Setup'!B:D,3,0), "")</f>
        <v>#NAME?</v>
      </c>
      <c r="H428" s="38"/>
    </row>
    <row r="429" spans="2:8" ht="15.75" customHeight="1" x14ac:dyDescent="0.2">
      <c r="B429" s="47"/>
      <c r="C429" s="34" t="str">
        <f t="shared" si="1"/>
        <v/>
      </c>
      <c r="D429" s="47"/>
      <c r="E429" s="52"/>
      <c r="F429" s="47"/>
      <c r="G429" s="36" t="e">
        <f ca="1">_xludf.IFNA(VLOOKUP(F429,'Category Setup'!B:D,3,0), "")</f>
        <v>#NAME?</v>
      </c>
      <c r="H429" s="47"/>
    </row>
    <row r="430" spans="2:8" ht="15.75" customHeight="1" x14ac:dyDescent="0.2">
      <c r="B430" s="38"/>
      <c r="C430" s="28" t="str">
        <f t="shared" si="1"/>
        <v/>
      </c>
      <c r="D430" s="38"/>
      <c r="E430" s="53"/>
      <c r="F430" s="38"/>
      <c r="G430" s="31" t="e">
        <f ca="1">_xludf.IFNA(VLOOKUP(F430,'Category Setup'!B:D,3,0), "")</f>
        <v>#NAME?</v>
      </c>
      <c r="H430" s="38"/>
    </row>
    <row r="431" spans="2:8" ht="15.75" customHeight="1" x14ac:dyDescent="0.2">
      <c r="B431" s="47"/>
      <c r="C431" s="34" t="str">
        <f t="shared" si="1"/>
        <v/>
      </c>
      <c r="D431" s="47"/>
      <c r="E431" s="52"/>
      <c r="F431" s="47"/>
      <c r="G431" s="36" t="e">
        <f ca="1">_xludf.IFNA(VLOOKUP(F431,'Category Setup'!B:D,3,0), "")</f>
        <v>#NAME?</v>
      </c>
      <c r="H431" s="47"/>
    </row>
    <row r="432" spans="2:8" ht="15.75" customHeight="1" x14ac:dyDescent="0.2">
      <c r="B432" s="38"/>
      <c r="C432" s="28" t="str">
        <f t="shared" si="1"/>
        <v/>
      </c>
      <c r="D432" s="38"/>
      <c r="E432" s="53"/>
      <c r="F432" s="38"/>
      <c r="G432" s="31" t="e">
        <f ca="1">_xludf.IFNA(VLOOKUP(F432,'Category Setup'!B:D,3,0), "")</f>
        <v>#NAME?</v>
      </c>
      <c r="H432" s="38"/>
    </row>
    <row r="433" spans="2:8" ht="15.75" customHeight="1" x14ac:dyDescent="0.2">
      <c r="B433" s="47"/>
      <c r="C433" s="34" t="str">
        <f t="shared" si="1"/>
        <v/>
      </c>
      <c r="D433" s="47"/>
      <c r="E433" s="52"/>
      <c r="F433" s="47"/>
      <c r="G433" s="36" t="e">
        <f ca="1">_xludf.IFNA(VLOOKUP(F433,'Category Setup'!B:D,3,0), "")</f>
        <v>#NAME?</v>
      </c>
      <c r="H433" s="47"/>
    </row>
    <row r="434" spans="2:8" ht="15.75" customHeight="1" x14ac:dyDescent="0.2">
      <c r="B434" s="38"/>
      <c r="C434" s="28" t="str">
        <f t="shared" si="1"/>
        <v/>
      </c>
      <c r="D434" s="38"/>
      <c r="E434" s="53"/>
      <c r="F434" s="38"/>
      <c r="G434" s="31" t="e">
        <f ca="1">_xludf.IFNA(VLOOKUP(F434,'Category Setup'!B:D,3,0), "")</f>
        <v>#NAME?</v>
      </c>
      <c r="H434" s="38"/>
    </row>
    <row r="435" spans="2:8" ht="15.75" customHeight="1" x14ac:dyDescent="0.2">
      <c r="B435" s="47"/>
      <c r="C435" s="34" t="str">
        <f t="shared" si="1"/>
        <v/>
      </c>
      <c r="D435" s="47"/>
      <c r="E435" s="52"/>
      <c r="F435" s="47"/>
      <c r="G435" s="36" t="e">
        <f ca="1">_xludf.IFNA(VLOOKUP(F435,'Category Setup'!B:D,3,0), "")</f>
        <v>#NAME?</v>
      </c>
      <c r="H435" s="47"/>
    </row>
    <row r="436" spans="2:8" ht="15.75" customHeight="1" x14ac:dyDescent="0.2">
      <c r="B436" s="38"/>
      <c r="C436" s="28" t="str">
        <f t="shared" si="1"/>
        <v/>
      </c>
      <c r="D436" s="38"/>
      <c r="E436" s="53"/>
      <c r="F436" s="38"/>
      <c r="G436" s="31" t="e">
        <f ca="1">_xludf.IFNA(VLOOKUP(F436,'Category Setup'!B:D,3,0), "")</f>
        <v>#NAME?</v>
      </c>
      <c r="H436" s="38"/>
    </row>
    <row r="437" spans="2:8" ht="15.75" customHeight="1" x14ac:dyDescent="0.2">
      <c r="B437" s="47"/>
      <c r="C437" s="34" t="str">
        <f t="shared" si="1"/>
        <v/>
      </c>
      <c r="D437" s="47"/>
      <c r="E437" s="52"/>
      <c r="F437" s="47"/>
      <c r="G437" s="36" t="e">
        <f ca="1">_xludf.IFNA(VLOOKUP(F437,'Category Setup'!B:D,3,0), "")</f>
        <v>#NAME?</v>
      </c>
      <c r="H437" s="47"/>
    </row>
    <row r="438" spans="2:8" ht="15.75" customHeight="1" x14ac:dyDescent="0.2">
      <c r="B438" s="38"/>
      <c r="C438" s="28" t="str">
        <f t="shared" si="1"/>
        <v/>
      </c>
      <c r="D438" s="38"/>
      <c r="E438" s="53"/>
      <c r="F438" s="38"/>
      <c r="G438" s="31" t="e">
        <f ca="1">_xludf.IFNA(VLOOKUP(F438,'Category Setup'!B:D,3,0), "")</f>
        <v>#NAME?</v>
      </c>
      <c r="H438" s="38"/>
    </row>
    <row r="439" spans="2:8" ht="15.75" customHeight="1" x14ac:dyDescent="0.2">
      <c r="B439" s="47"/>
      <c r="C439" s="34" t="str">
        <f t="shared" si="1"/>
        <v/>
      </c>
      <c r="D439" s="47"/>
      <c r="E439" s="52"/>
      <c r="F439" s="47"/>
      <c r="G439" s="36" t="e">
        <f ca="1">_xludf.IFNA(VLOOKUP(F439,'Category Setup'!B:D,3,0), "")</f>
        <v>#NAME?</v>
      </c>
      <c r="H439" s="47"/>
    </row>
    <row r="440" spans="2:8" ht="15.75" customHeight="1" x14ac:dyDescent="0.2">
      <c r="B440" s="38"/>
      <c r="C440" s="28" t="str">
        <f t="shared" si="1"/>
        <v/>
      </c>
      <c r="D440" s="38"/>
      <c r="E440" s="53"/>
      <c r="F440" s="38"/>
      <c r="G440" s="31" t="e">
        <f ca="1">_xludf.IFNA(VLOOKUP(F440,'Category Setup'!B:D,3,0), "")</f>
        <v>#NAME?</v>
      </c>
      <c r="H440" s="38"/>
    </row>
    <row r="441" spans="2:8" ht="15.75" customHeight="1" x14ac:dyDescent="0.2">
      <c r="B441" s="47"/>
      <c r="C441" s="34" t="str">
        <f t="shared" si="1"/>
        <v/>
      </c>
      <c r="D441" s="47"/>
      <c r="E441" s="52"/>
      <c r="F441" s="47"/>
      <c r="G441" s="36" t="e">
        <f ca="1">_xludf.IFNA(VLOOKUP(F441,'Category Setup'!B:D,3,0), "")</f>
        <v>#NAME?</v>
      </c>
      <c r="H441" s="47"/>
    </row>
    <row r="442" spans="2:8" ht="15.75" customHeight="1" x14ac:dyDescent="0.2">
      <c r="B442" s="38"/>
      <c r="C442" s="28" t="str">
        <f t="shared" si="1"/>
        <v/>
      </c>
      <c r="D442" s="38"/>
      <c r="E442" s="53"/>
      <c r="F442" s="38"/>
      <c r="G442" s="31" t="e">
        <f ca="1">_xludf.IFNA(VLOOKUP(F442,'Category Setup'!B:D,3,0), "")</f>
        <v>#NAME?</v>
      </c>
      <c r="H442" s="38"/>
    </row>
    <row r="443" spans="2:8" ht="15.75" customHeight="1" x14ac:dyDescent="0.2">
      <c r="B443" s="47"/>
      <c r="C443" s="34" t="str">
        <f t="shared" si="1"/>
        <v/>
      </c>
      <c r="D443" s="47"/>
      <c r="E443" s="52"/>
      <c r="F443" s="47"/>
      <c r="G443" s="36" t="e">
        <f ca="1">_xludf.IFNA(VLOOKUP(F443,'Category Setup'!B:D,3,0), "")</f>
        <v>#NAME?</v>
      </c>
      <c r="H443" s="47"/>
    </row>
    <row r="444" spans="2:8" ht="15.75" customHeight="1" x14ac:dyDescent="0.2">
      <c r="B444" s="38"/>
      <c r="C444" s="28" t="str">
        <f t="shared" si="1"/>
        <v/>
      </c>
      <c r="D444" s="38"/>
      <c r="E444" s="53"/>
      <c r="F444" s="38"/>
      <c r="G444" s="31" t="e">
        <f ca="1">_xludf.IFNA(VLOOKUP(F444,'Category Setup'!B:D,3,0), "")</f>
        <v>#NAME?</v>
      </c>
      <c r="H444" s="38"/>
    </row>
    <row r="445" spans="2:8" ht="15.75" customHeight="1" x14ac:dyDescent="0.2">
      <c r="B445" s="47"/>
      <c r="C445" s="34" t="str">
        <f t="shared" si="1"/>
        <v/>
      </c>
      <c r="D445" s="47"/>
      <c r="E445" s="52"/>
      <c r="F445" s="47"/>
      <c r="G445" s="36" t="e">
        <f ca="1">_xludf.IFNA(VLOOKUP(F445,'Category Setup'!B:D,3,0), "")</f>
        <v>#NAME?</v>
      </c>
      <c r="H445" s="47"/>
    </row>
    <row r="446" spans="2:8" ht="15.75" customHeight="1" x14ac:dyDescent="0.2">
      <c r="B446" s="38"/>
      <c r="C446" s="28" t="str">
        <f t="shared" si="1"/>
        <v/>
      </c>
      <c r="D446" s="38"/>
      <c r="E446" s="53"/>
      <c r="F446" s="38"/>
      <c r="G446" s="31" t="e">
        <f ca="1">_xludf.IFNA(VLOOKUP(F446,'Category Setup'!B:D,3,0), "")</f>
        <v>#NAME?</v>
      </c>
      <c r="H446" s="38"/>
    </row>
    <row r="447" spans="2:8" ht="15.75" customHeight="1" x14ac:dyDescent="0.2">
      <c r="B447" s="47"/>
      <c r="C447" s="34" t="str">
        <f t="shared" si="1"/>
        <v/>
      </c>
      <c r="D447" s="47"/>
      <c r="E447" s="52"/>
      <c r="F447" s="47"/>
      <c r="G447" s="36" t="e">
        <f ca="1">_xludf.IFNA(VLOOKUP(F447,'Category Setup'!B:D,3,0), "")</f>
        <v>#NAME?</v>
      </c>
      <c r="H447" s="47"/>
    </row>
    <row r="448" spans="2:8" ht="15.75" customHeight="1" x14ac:dyDescent="0.2">
      <c r="B448" s="38"/>
      <c r="C448" s="28" t="str">
        <f t="shared" si="1"/>
        <v/>
      </c>
      <c r="D448" s="38"/>
      <c r="E448" s="53"/>
      <c r="F448" s="38"/>
      <c r="G448" s="31" t="e">
        <f ca="1">_xludf.IFNA(VLOOKUP(F448,'Category Setup'!B:D,3,0), "")</f>
        <v>#NAME?</v>
      </c>
      <c r="H448" s="38"/>
    </row>
    <row r="449" spans="2:8" ht="15.75" customHeight="1" x14ac:dyDescent="0.2">
      <c r="B449" s="47"/>
      <c r="C449" s="34" t="str">
        <f t="shared" si="1"/>
        <v/>
      </c>
      <c r="D449" s="47"/>
      <c r="E449" s="52"/>
      <c r="F449" s="47"/>
      <c r="G449" s="36" t="e">
        <f ca="1">_xludf.IFNA(VLOOKUP(F449,'Category Setup'!B:D,3,0), "")</f>
        <v>#NAME?</v>
      </c>
      <c r="H449" s="47"/>
    </row>
    <row r="450" spans="2:8" ht="15.75" customHeight="1" x14ac:dyDescent="0.2">
      <c r="B450" s="38"/>
      <c r="C450" s="28" t="str">
        <f t="shared" si="1"/>
        <v/>
      </c>
      <c r="D450" s="38"/>
      <c r="E450" s="53"/>
      <c r="F450" s="38"/>
      <c r="G450" s="31" t="e">
        <f ca="1">_xludf.IFNA(VLOOKUP(F450,'Category Setup'!B:D,3,0), "")</f>
        <v>#NAME?</v>
      </c>
      <c r="H450" s="38"/>
    </row>
    <row r="451" spans="2:8" ht="15.75" customHeight="1" x14ac:dyDescent="0.2">
      <c r="B451" s="47"/>
      <c r="C451" s="34" t="str">
        <f t="shared" si="1"/>
        <v/>
      </c>
      <c r="D451" s="47"/>
      <c r="E451" s="52"/>
      <c r="F451" s="47"/>
      <c r="G451" s="36" t="e">
        <f ca="1">_xludf.IFNA(VLOOKUP(F451,'Category Setup'!B:D,3,0), "")</f>
        <v>#NAME?</v>
      </c>
      <c r="H451" s="47"/>
    </row>
    <row r="452" spans="2:8" ht="15.75" customHeight="1" x14ac:dyDescent="0.2">
      <c r="B452" s="38"/>
      <c r="C452" s="28" t="str">
        <f t="shared" si="1"/>
        <v/>
      </c>
      <c r="D452" s="38"/>
      <c r="E452" s="53"/>
      <c r="F452" s="38"/>
      <c r="G452" s="31" t="e">
        <f ca="1">_xludf.IFNA(VLOOKUP(F452,'Category Setup'!B:D,3,0), "")</f>
        <v>#NAME?</v>
      </c>
      <c r="H452" s="38"/>
    </row>
    <row r="453" spans="2:8" ht="15.75" customHeight="1" x14ac:dyDescent="0.2">
      <c r="B453" s="47"/>
      <c r="C453" s="34" t="str">
        <f t="shared" si="1"/>
        <v/>
      </c>
      <c r="D453" s="47"/>
      <c r="E453" s="52"/>
      <c r="F453" s="47"/>
      <c r="G453" s="36" t="e">
        <f ca="1">_xludf.IFNA(VLOOKUP(F453,'Category Setup'!B:D,3,0), "")</f>
        <v>#NAME?</v>
      </c>
      <c r="H453" s="47"/>
    </row>
    <row r="454" spans="2:8" ht="15.75" customHeight="1" x14ac:dyDescent="0.2">
      <c r="B454" s="38"/>
      <c r="C454" s="28" t="str">
        <f t="shared" si="1"/>
        <v/>
      </c>
      <c r="D454" s="38"/>
      <c r="E454" s="53"/>
      <c r="F454" s="38"/>
      <c r="G454" s="31" t="e">
        <f ca="1">_xludf.IFNA(VLOOKUP(F454,'Category Setup'!B:D,3,0), "")</f>
        <v>#NAME?</v>
      </c>
      <c r="H454" s="38"/>
    </row>
    <row r="455" spans="2:8" ht="15.75" customHeight="1" x14ac:dyDescent="0.2">
      <c r="B455" s="47"/>
      <c r="C455" s="34" t="str">
        <f t="shared" si="1"/>
        <v/>
      </c>
      <c r="D455" s="47"/>
      <c r="E455" s="52"/>
      <c r="F455" s="47"/>
      <c r="G455" s="36" t="e">
        <f ca="1">_xludf.IFNA(VLOOKUP(F455,'Category Setup'!B:D,3,0), "")</f>
        <v>#NAME?</v>
      </c>
      <c r="H455" s="47"/>
    </row>
    <row r="456" spans="2:8" ht="15.75" customHeight="1" x14ac:dyDescent="0.2">
      <c r="B456" s="38"/>
      <c r="C456" s="28" t="str">
        <f t="shared" si="1"/>
        <v/>
      </c>
      <c r="D456" s="38"/>
      <c r="E456" s="53"/>
      <c r="F456" s="38"/>
      <c r="G456" s="31" t="e">
        <f ca="1">_xludf.IFNA(VLOOKUP(F456,'Category Setup'!B:D,3,0), "")</f>
        <v>#NAME?</v>
      </c>
      <c r="H456" s="38"/>
    </row>
    <row r="457" spans="2:8" ht="15.75" customHeight="1" x14ac:dyDescent="0.2">
      <c r="B457" s="47"/>
      <c r="C457" s="34" t="str">
        <f t="shared" si="1"/>
        <v/>
      </c>
      <c r="D457" s="47"/>
      <c r="E457" s="52"/>
      <c r="F457" s="47"/>
      <c r="G457" s="36" t="e">
        <f ca="1">_xludf.IFNA(VLOOKUP(F457,'Category Setup'!B:D,3,0), "")</f>
        <v>#NAME?</v>
      </c>
      <c r="H457" s="47"/>
    </row>
    <row r="458" spans="2:8" ht="15.75" customHeight="1" x14ac:dyDescent="0.2">
      <c r="B458" s="38"/>
      <c r="C458" s="28" t="str">
        <f t="shared" si="1"/>
        <v/>
      </c>
      <c r="D458" s="38"/>
      <c r="E458" s="53"/>
      <c r="F458" s="38"/>
      <c r="G458" s="31" t="e">
        <f ca="1">_xludf.IFNA(VLOOKUP(F458,'Category Setup'!B:D,3,0), "")</f>
        <v>#NAME?</v>
      </c>
      <c r="H458" s="38"/>
    </row>
    <row r="459" spans="2:8" ht="15.75" customHeight="1" x14ac:dyDescent="0.2">
      <c r="B459" s="47"/>
      <c r="C459" s="34" t="str">
        <f t="shared" si="1"/>
        <v/>
      </c>
      <c r="D459" s="47"/>
      <c r="E459" s="52"/>
      <c r="F459" s="47"/>
      <c r="G459" s="36" t="e">
        <f ca="1">_xludf.IFNA(VLOOKUP(F459,'Category Setup'!B:D,3,0), "")</f>
        <v>#NAME?</v>
      </c>
      <c r="H459" s="47"/>
    </row>
    <row r="460" spans="2:8" ht="15.75" customHeight="1" x14ac:dyDescent="0.2">
      <c r="B460" s="38"/>
      <c r="C460" s="28" t="str">
        <f t="shared" si="1"/>
        <v/>
      </c>
      <c r="D460" s="38"/>
      <c r="E460" s="53"/>
      <c r="F460" s="38"/>
      <c r="G460" s="31" t="e">
        <f ca="1">_xludf.IFNA(VLOOKUP(F460,'Category Setup'!B:D,3,0), "")</f>
        <v>#NAME?</v>
      </c>
      <c r="H460" s="38"/>
    </row>
    <row r="461" spans="2:8" ht="15.75" customHeight="1" x14ac:dyDescent="0.2">
      <c r="B461" s="47"/>
      <c r="C461" s="34" t="str">
        <f t="shared" si="1"/>
        <v/>
      </c>
      <c r="D461" s="47"/>
      <c r="E461" s="52"/>
      <c r="F461" s="47"/>
      <c r="G461" s="36" t="e">
        <f ca="1">_xludf.IFNA(VLOOKUP(F461,'Category Setup'!B:D,3,0), "")</f>
        <v>#NAME?</v>
      </c>
      <c r="H461" s="47"/>
    </row>
    <row r="462" spans="2:8" ht="15.75" customHeight="1" x14ac:dyDescent="0.2">
      <c r="B462" s="38"/>
      <c r="C462" s="28" t="str">
        <f t="shared" si="1"/>
        <v/>
      </c>
      <c r="D462" s="38"/>
      <c r="E462" s="53"/>
      <c r="F462" s="38"/>
      <c r="G462" s="31" t="e">
        <f ca="1">_xludf.IFNA(VLOOKUP(F462,'Category Setup'!B:D,3,0), "")</f>
        <v>#NAME?</v>
      </c>
      <c r="H462" s="38"/>
    </row>
    <row r="463" spans="2:8" ht="15.75" customHeight="1" x14ac:dyDescent="0.2">
      <c r="B463" s="47"/>
      <c r="C463" s="34" t="str">
        <f t="shared" si="1"/>
        <v/>
      </c>
      <c r="D463" s="47"/>
      <c r="E463" s="52"/>
      <c r="F463" s="47"/>
      <c r="G463" s="36" t="e">
        <f ca="1">_xludf.IFNA(VLOOKUP(F463,'Category Setup'!B:D,3,0), "")</f>
        <v>#NAME?</v>
      </c>
      <c r="H463" s="47"/>
    </row>
    <row r="464" spans="2:8" ht="15.75" customHeight="1" x14ac:dyDescent="0.2">
      <c r="B464" s="38"/>
      <c r="C464" s="28" t="str">
        <f t="shared" si="1"/>
        <v/>
      </c>
      <c r="D464" s="38"/>
      <c r="E464" s="53"/>
      <c r="F464" s="38"/>
      <c r="G464" s="31" t="e">
        <f ca="1">_xludf.IFNA(VLOOKUP(F464,'Category Setup'!B:D,3,0), "")</f>
        <v>#NAME?</v>
      </c>
      <c r="H464" s="38"/>
    </row>
    <row r="465" spans="2:8" ht="15.75" customHeight="1" x14ac:dyDescent="0.2">
      <c r="B465" s="47"/>
      <c r="C465" s="34" t="str">
        <f t="shared" si="1"/>
        <v/>
      </c>
      <c r="D465" s="47"/>
      <c r="E465" s="52"/>
      <c r="F465" s="47"/>
      <c r="G465" s="36" t="e">
        <f ca="1">_xludf.IFNA(VLOOKUP(F465,'Category Setup'!B:D,3,0), "")</f>
        <v>#NAME?</v>
      </c>
      <c r="H465" s="47"/>
    </row>
    <row r="466" spans="2:8" ht="15.75" customHeight="1" x14ac:dyDescent="0.2">
      <c r="B466" s="38"/>
      <c r="C466" s="28" t="str">
        <f t="shared" si="1"/>
        <v/>
      </c>
      <c r="D466" s="38"/>
      <c r="E466" s="53"/>
      <c r="F466" s="38"/>
      <c r="G466" s="31" t="e">
        <f ca="1">_xludf.IFNA(VLOOKUP(F466,'Category Setup'!B:D,3,0), "")</f>
        <v>#NAME?</v>
      </c>
      <c r="H466" s="38"/>
    </row>
    <row r="467" spans="2:8" ht="15.75" customHeight="1" x14ac:dyDescent="0.2">
      <c r="B467" s="47"/>
      <c r="C467" s="34" t="str">
        <f t="shared" si="1"/>
        <v/>
      </c>
      <c r="D467" s="47"/>
      <c r="E467" s="52"/>
      <c r="F467" s="47"/>
      <c r="G467" s="36" t="e">
        <f ca="1">_xludf.IFNA(VLOOKUP(F467,'Category Setup'!B:D,3,0), "")</f>
        <v>#NAME?</v>
      </c>
      <c r="H467" s="47"/>
    </row>
    <row r="468" spans="2:8" ht="15.75" customHeight="1" x14ac:dyDescent="0.2">
      <c r="B468" s="38"/>
      <c r="C468" s="28" t="str">
        <f t="shared" si="1"/>
        <v/>
      </c>
      <c r="D468" s="38"/>
      <c r="E468" s="53"/>
      <c r="F468" s="38"/>
      <c r="G468" s="31" t="e">
        <f ca="1">_xludf.IFNA(VLOOKUP(F468,'Category Setup'!B:D,3,0), "")</f>
        <v>#NAME?</v>
      </c>
      <c r="H468" s="38"/>
    </row>
    <row r="469" spans="2:8" ht="15.75" customHeight="1" x14ac:dyDescent="0.2">
      <c r="B469" s="47"/>
      <c r="C469" s="34" t="str">
        <f t="shared" si="1"/>
        <v/>
      </c>
      <c r="D469" s="47"/>
      <c r="E469" s="52"/>
      <c r="F469" s="47"/>
      <c r="G469" s="36" t="e">
        <f ca="1">_xludf.IFNA(VLOOKUP(F469,'Category Setup'!B:D,3,0), "")</f>
        <v>#NAME?</v>
      </c>
      <c r="H469" s="47"/>
    </row>
    <row r="470" spans="2:8" ht="15.75" customHeight="1" x14ac:dyDescent="0.2">
      <c r="B470" s="38"/>
      <c r="C470" s="28" t="str">
        <f t="shared" si="1"/>
        <v/>
      </c>
      <c r="D470" s="38"/>
      <c r="E470" s="53"/>
      <c r="F470" s="38"/>
      <c r="G470" s="31" t="e">
        <f ca="1">_xludf.IFNA(VLOOKUP(F470,'Category Setup'!B:D,3,0), "")</f>
        <v>#NAME?</v>
      </c>
      <c r="H470" s="38"/>
    </row>
    <row r="471" spans="2:8" ht="15.75" customHeight="1" x14ac:dyDescent="0.2">
      <c r="B471" s="47"/>
      <c r="C471" s="34" t="str">
        <f t="shared" si="1"/>
        <v/>
      </c>
      <c r="D471" s="47"/>
      <c r="E471" s="52"/>
      <c r="F471" s="47"/>
      <c r="G471" s="36" t="e">
        <f ca="1">_xludf.IFNA(VLOOKUP(F471,'Category Setup'!B:D,3,0), "")</f>
        <v>#NAME?</v>
      </c>
      <c r="H471" s="47"/>
    </row>
    <row r="472" spans="2:8" ht="15.75" customHeight="1" x14ac:dyDescent="0.2">
      <c r="B472" s="38"/>
      <c r="C472" s="28" t="str">
        <f t="shared" si="1"/>
        <v/>
      </c>
      <c r="D472" s="38"/>
      <c r="E472" s="53"/>
      <c r="F472" s="38"/>
      <c r="G472" s="31" t="e">
        <f ca="1">_xludf.IFNA(VLOOKUP(F472,'Category Setup'!B:D,3,0), "")</f>
        <v>#NAME?</v>
      </c>
      <c r="H472" s="38"/>
    </row>
    <row r="473" spans="2:8" ht="15.75" customHeight="1" x14ac:dyDescent="0.2">
      <c r="B473" s="47"/>
      <c r="C473" s="34" t="str">
        <f t="shared" si="1"/>
        <v/>
      </c>
      <c r="D473" s="47"/>
      <c r="E473" s="52"/>
      <c r="F473" s="47"/>
      <c r="G473" s="36" t="e">
        <f ca="1">_xludf.IFNA(VLOOKUP(F473,'Category Setup'!B:D,3,0), "")</f>
        <v>#NAME?</v>
      </c>
      <c r="H473" s="47"/>
    </row>
    <row r="474" spans="2:8" ht="15.75" customHeight="1" x14ac:dyDescent="0.2">
      <c r="B474" s="38"/>
      <c r="C474" s="28" t="str">
        <f t="shared" si="1"/>
        <v/>
      </c>
      <c r="D474" s="38"/>
      <c r="E474" s="53"/>
      <c r="F474" s="38"/>
      <c r="G474" s="31" t="e">
        <f ca="1">_xludf.IFNA(VLOOKUP(F474,'Category Setup'!B:D,3,0), "")</f>
        <v>#NAME?</v>
      </c>
      <c r="H474" s="38"/>
    </row>
    <row r="475" spans="2:8" ht="15.75" customHeight="1" x14ac:dyDescent="0.2">
      <c r="B475" s="47"/>
      <c r="C475" s="34" t="str">
        <f t="shared" si="1"/>
        <v/>
      </c>
      <c r="D475" s="47"/>
      <c r="E475" s="52"/>
      <c r="F475" s="47"/>
      <c r="G475" s="36" t="e">
        <f ca="1">_xludf.IFNA(VLOOKUP(F475,'Category Setup'!B:D,3,0), "")</f>
        <v>#NAME?</v>
      </c>
      <c r="H475" s="47"/>
    </row>
    <row r="476" spans="2:8" ht="15.75" customHeight="1" x14ac:dyDescent="0.2">
      <c r="B476" s="38"/>
      <c r="C476" s="28" t="str">
        <f t="shared" si="1"/>
        <v/>
      </c>
      <c r="D476" s="38"/>
      <c r="E476" s="53"/>
      <c r="F476" s="38"/>
      <c r="G476" s="31" t="e">
        <f ca="1">_xludf.IFNA(VLOOKUP(F476,'Category Setup'!B:D,3,0), "")</f>
        <v>#NAME?</v>
      </c>
      <c r="H476" s="38"/>
    </row>
    <row r="477" spans="2:8" ht="15.75" customHeight="1" x14ac:dyDescent="0.2">
      <c r="B477" s="47"/>
      <c r="C477" s="34" t="str">
        <f t="shared" si="1"/>
        <v/>
      </c>
      <c r="D477" s="47"/>
      <c r="E477" s="52"/>
      <c r="F477" s="47"/>
      <c r="G477" s="36" t="e">
        <f ca="1">_xludf.IFNA(VLOOKUP(F477,'Category Setup'!B:D,3,0), "")</f>
        <v>#NAME?</v>
      </c>
      <c r="H477" s="47"/>
    </row>
    <row r="478" spans="2:8" ht="15.75" customHeight="1" x14ac:dyDescent="0.2">
      <c r="B478" s="38"/>
      <c r="C478" s="28" t="str">
        <f t="shared" si="1"/>
        <v/>
      </c>
      <c r="D478" s="38"/>
      <c r="E478" s="53"/>
      <c r="F478" s="38"/>
      <c r="G478" s="31" t="e">
        <f ca="1">_xludf.IFNA(VLOOKUP(F478,'Category Setup'!B:D,3,0), "")</f>
        <v>#NAME?</v>
      </c>
      <c r="H478" s="38"/>
    </row>
    <row r="479" spans="2:8" ht="15.75" customHeight="1" x14ac:dyDescent="0.2">
      <c r="B479" s="47"/>
      <c r="C479" s="34" t="str">
        <f t="shared" si="1"/>
        <v/>
      </c>
      <c r="D479" s="47"/>
      <c r="E479" s="52"/>
      <c r="F479" s="47"/>
      <c r="G479" s="36" t="e">
        <f ca="1">_xludf.IFNA(VLOOKUP(F479,'Category Setup'!B:D,3,0), "")</f>
        <v>#NAME?</v>
      </c>
      <c r="H479" s="47"/>
    </row>
    <row r="480" spans="2:8" ht="15.75" customHeight="1" x14ac:dyDescent="0.2">
      <c r="B480" s="38"/>
      <c r="C480" s="28" t="str">
        <f t="shared" si="1"/>
        <v/>
      </c>
      <c r="D480" s="38"/>
      <c r="E480" s="53"/>
      <c r="F480" s="38"/>
      <c r="G480" s="31" t="e">
        <f ca="1">_xludf.IFNA(VLOOKUP(F480,'Category Setup'!B:D,3,0), "")</f>
        <v>#NAME?</v>
      </c>
      <c r="H480" s="38"/>
    </row>
    <row r="481" spans="2:8" ht="15.75" customHeight="1" x14ac:dyDescent="0.2">
      <c r="B481" s="47"/>
      <c r="C481" s="34" t="str">
        <f t="shared" si="1"/>
        <v/>
      </c>
      <c r="D481" s="47"/>
      <c r="E481" s="52"/>
      <c r="F481" s="47"/>
      <c r="G481" s="36" t="e">
        <f ca="1">_xludf.IFNA(VLOOKUP(F481,'Category Setup'!B:D,3,0), "")</f>
        <v>#NAME?</v>
      </c>
      <c r="H481" s="47"/>
    </row>
    <row r="482" spans="2:8" ht="15.75" customHeight="1" x14ac:dyDescent="0.2">
      <c r="B482" s="38"/>
      <c r="C482" s="28" t="str">
        <f t="shared" si="1"/>
        <v/>
      </c>
      <c r="D482" s="38"/>
      <c r="E482" s="53"/>
      <c r="F482" s="38"/>
      <c r="G482" s="31" t="e">
        <f ca="1">_xludf.IFNA(VLOOKUP(F482,'Category Setup'!B:D,3,0), "")</f>
        <v>#NAME?</v>
      </c>
      <c r="H482" s="38"/>
    </row>
    <row r="483" spans="2:8" ht="15.75" customHeight="1" x14ac:dyDescent="0.2">
      <c r="B483" s="47"/>
      <c r="C483" s="34" t="str">
        <f t="shared" si="1"/>
        <v/>
      </c>
      <c r="D483" s="47"/>
      <c r="E483" s="52"/>
      <c r="F483" s="47"/>
      <c r="G483" s="36" t="e">
        <f ca="1">_xludf.IFNA(VLOOKUP(F483,'Category Setup'!B:D,3,0), "")</f>
        <v>#NAME?</v>
      </c>
      <c r="H483" s="47"/>
    </row>
    <row r="484" spans="2:8" ht="15.75" customHeight="1" x14ac:dyDescent="0.2">
      <c r="B484" s="38"/>
      <c r="C484" s="28" t="str">
        <f t="shared" si="1"/>
        <v/>
      </c>
      <c r="D484" s="38"/>
      <c r="E484" s="53"/>
      <c r="F484" s="38"/>
      <c r="G484" s="31" t="e">
        <f ca="1">_xludf.IFNA(VLOOKUP(F484,'Category Setup'!B:D,3,0), "")</f>
        <v>#NAME?</v>
      </c>
      <c r="H484" s="38"/>
    </row>
    <row r="485" spans="2:8" ht="15.75" customHeight="1" x14ac:dyDescent="0.2">
      <c r="B485" s="47"/>
      <c r="C485" s="34" t="str">
        <f t="shared" si="1"/>
        <v/>
      </c>
      <c r="D485" s="47"/>
      <c r="E485" s="52"/>
      <c r="F485" s="47"/>
      <c r="G485" s="36" t="e">
        <f ca="1">_xludf.IFNA(VLOOKUP(F485,'Category Setup'!B:D,3,0), "")</f>
        <v>#NAME?</v>
      </c>
      <c r="H485" s="47"/>
    </row>
    <row r="486" spans="2:8" ht="15.75" customHeight="1" x14ac:dyDescent="0.2">
      <c r="B486" s="38"/>
      <c r="C486" s="28" t="str">
        <f t="shared" si="1"/>
        <v/>
      </c>
      <c r="D486" s="38"/>
      <c r="E486" s="53"/>
      <c r="F486" s="38"/>
      <c r="G486" s="31" t="e">
        <f ca="1">_xludf.IFNA(VLOOKUP(F486,'Category Setup'!B:D,3,0), "")</f>
        <v>#NAME?</v>
      </c>
      <c r="H486" s="38"/>
    </row>
    <row r="487" spans="2:8" ht="15.75" customHeight="1" x14ac:dyDescent="0.2">
      <c r="B487" s="47"/>
      <c r="C487" s="34" t="str">
        <f t="shared" si="1"/>
        <v/>
      </c>
      <c r="D487" s="47"/>
      <c r="E487" s="52"/>
      <c r="F487" s="47"/>
      <c r="G487" s="36" t="e">
        <f ca="1">_xludf.IFNA(VLOOKUP(F487,'Category Setup'!B:D,3,0), "")</f>
        <v>#NAME?</v>
      </c>
      <c r="H487" s="47"/>
    </row>
    <row r="488" spans="2:8" ht="15.75" customHeight="1" x14ac:dyDescent="0.2">
      <c r="B488" s="38"/>
      <c r="C488" s="28" t="str">
        <f t="shared" si="1"/>
        <v/>
      </c>
      <c r="D488" s="38"/>
      <c r="E488" s="53"/>
      <c r="F488" s="38"/>
      <c r="G488" s="31" t="e">
        <f ca="1">_xludf.IFNA(VLOOKUP(F488,'Category Setup'!B:D,3,0), "")</f>
        <v>#NAME?</v>
      </c>
      <c r="H488" s="38"/>
    </row>
    <row r="489" spans="2:8" ht="15.75" customHeight="1" x14ac:dyDescent="0.2">
      <c r="B489" s="47"/>
      <c r="C489" s="34" t="str">
        <f t="shared" si="1"/>
        <v/>
      </c>
      <c r="D489" s="47"/>
      <c r="E489" s="52"/>
      <c r="F489" s="47"/>
      <c r="G489" s="36" t="e">
        <f ca="1">_xludf.IFNA(VLOOKUP(F489,'Category Setup'!B:D,3,0), "")</f>
        <v>#NAME?</v>
      </c>
      <c r="H489" s="47"/>
    </row>
    <row r="490" spans="2:8" ht="15.75" customHeight="1" x14ac:dyDescent="0.2">
      <c r="B490" s="38"/>
      <c r="C490" s="28" t="str">
        <f t="shared" si="1"/>
        <v/>
      </c>
      <c r="D490" s="38"/>
      <c r="E490" s="53"/>
      <c r="F490" s="38"/>
      <c r="G490" s="31" t="e">
        <f ca="1">_xludf.IFNA(VLOOKUP(F490,'Category Setup'!B:D,3,0), "")</f>
        <v>#NAME?</v>
      </c>
      <c r="H490" s="38"/>
    </row>
    <row r="491" spans="2:8" ht="15.75" customHeight="1" x14ac:dyDescent="0.2">
      <c r="B491" s="47"/>
      <c r="C491" s="34" t="str">
        <f t="shared" si="1"/>
        <v/>
      </c>
      <c r="D491" s="47"/>
      <c r="E491" s="52"/>
      <c r="F491" s="47"/>
      <c r="G491" s="36" t="e">
        <f ca="1">_xludf.IFNA(VLOOKUP(F491,'Category Setup'!B:D,3,0), "")</f>
        <v>#NAME?</v>
      </c>
      <c r="H491" s="47"/>
    </row>
    <row r="492" spans="2:8" ht="15.75" customHeight="1" x14ac:dyDescent="0.2">
      <c r="B492" s="38"/>
      <c r="C492" s="28" t="str">
        <f t="shared" si="1"/>
        <v/>
      </c>
      <c r="D492" s="38"/>
      <c r="E492" s="53"/>
      <c r="F492" s="38"/>
      <c r="G492" s="31" t="e">
        <f ca="1">_xludf.IFNA(VLOOKUP(F492,'Category Setup'!B:D,3,0), "")</f>
        <v>#NAME?</v>
      </c>
      <c r="H492" s="38"/>
    </row>
    <row r="493" spans="2:8" ht="15.75" customHeight="1" x14ac:dyDescent="0.2">
      <c r="B493" s="47"/>
      <c r="C493" s="34" t="str">
        <f t="shared" si="1"/>
        <v/>
      </c>
      <c r="D493" s="47"/>
      <c r="E493" s="52"/>
      <c r="F493" s="47"/>
      <c r="G493" s="36" t="e">
        <f ca="1">_xludf.IFNA(VLOOKUP(F493,'Category Setup'!B:D,3,0), "")</f>
        <v>#NAME?</v>
      </c>
      <c r="H493" s="47"/>
    </row>
    <row r="494" spans="2:8" ht="15.75" customHeight="1" x14ac:dyDescent="0.2">
      <c r="B494" s="38"/>
      <c r="C494" s="28" t="str">
        <f t="shared" si="1"/>
        <v/>
      </c>
      <c r="D494" s="38"/>
      <c r="E494" s="53"/>
      <c r="F494" s="38"/>
      <c r="G494" s="31" t="e">
        <f ca="1">_xludf.IFNA(VLOOKUP(F494,'Category Setup'!B:D,3,0), "")</f>
        <v>#NAME?</v>
      </c>
      <c r="H494" s="38"/>
    </row>
    <row r="495" spans="2:8" ht="15.75" customHeight="1" x14ac:dyDescent="0.2">
      <c r="B495" s="47"/>
      <c r="C495" s="34" t="str">
        <f t="shared" si="1"/>
        <v/>
      </c>
      <c r="D495" s="47"/>
      <c r="E495" s="52"/>
      <c r="F495" s="47"/>
      <c r="G495" s="36" t="e">
        <f ca="1">_xludf.IFNA(VLOOKUP(F495,'Category Setup'!B:D,3,0), "")</f>
        <v>#NAME?</v>
      </c>
      <c r="H495" s="47"/>
    </row>
    <row r="496" spans="2:8" ht="15.75" customHeight="1" x14ac:dyDescent="0.2">
      <c r="B496" s="38"/>
      <c r="C496" s="28" t="str">
        <f t="shared" si="1"/>
        <v/>
      </c>
      <c r="D496" s="38"/>
      <c r="E496" s="53"/>
      <c r="F496" s="38"/>
      <c r="G496" s="31" t="e">
        <f ca="1">_xludf.IFNA(VLOOKUP(F496,'Category Setup'!B:D,3,0), "")</f>
        <v>#NAME?</v>
      </c>
      <c r="H496" s="38"/>
    </row>
    <row r="497" spans="2:8" ht="15.75" customHeight="1" x14ac:dyDescent="0.2">
      <c r="B497" s="47"/>
      <c r="C497" s="34" t="str">
        <f t="shared" si="1"/>
        <v/>
      </c>
      <c r="D497" s="47"/>
      <c r="E497" s="52"/>
      <c r="F497" s="47"/>
      <c r="G497" s="36" t="e">
        <f ca="1">_xludf.IFNA(VLOOKUP(F497,'Category Setup'!B:D,3,0), "")</f>
        <v>#NAME?</v>
      </c>
      <c r="H497" s="47"/>
    </row>
    <row r="498" spans="2:8" ht="15.75" customHeight="1" x14ac:dyDescent="0.2">
      <c r="B498" s="38"/>
      <c r="C498" s="28" t="str">
        <f t="shared" si="1"/>
        <v/>
      </c>
      <c r="D498" s="38"/>
      <c r="E498" s="53"/>
      <c r="F498" s="38"/>
      <c r="G498" s="31" t="e">
        <f ca="1">_xludf.IFNA(VLOOKUP(F498,'Category Setup'!B:D,3,0), "")</f>
        <v>#NAME?</v>
      </c>
      <c r="H498" s="38"/>
    </row>
    <row r="499" spans="2:8" ht="15.75" customHeight="1" x14ac:dyDescent="0.2">
      <c r="B499" s="47"/>
      <c r="C499" s="34" t="str">
        <f t="shared" si="1"/>
        <v/>
      </c>
      <c r="D499" s="47"/>
      <c r="E499" s="52"/>
      <c r="F499" s="47"/>
      <c r="G499" s="36" t="e">
        <f ca="1">_xludf.IFNA(VLOOKUP(F499,'Category Setup'!B:D,3,0), "")</f>
        <v>#NAME?</v>
      </c>
      <c r="H499" s="47"/>
    </row>
    <row r="500" spans="2:8" ht="15.75" customHeight="1" x14ac:dyDescent="0.2">
      <c r="B500" s="38"/>
      <c r="C500" s="28" t="str">
        <f t="shared" si="1"/>
        <v/>
      </c>
      <c r="D500" s="38"/>
      <c r="E500" s="53"/>
      <c r="F500" s="38"/>
      <c r="G500" s="31" t="e">
        <f ca="1">_xludf.IFNA(VLOOKUP(F500,'Category Setup'!B:D,3,0), "")</f>
        <v>#NAME?</v>
      </c>
      <c r="H500" s="38"/>
    </row>
    <row r="501" spans="2:8" ht="15.75" customHeight="1" x14ac:dyDescent="0.2">
      <c r="B501" s="47"/>
      <c r="C501" s="34" t="str">
        <f t="shared" si="1"/>
        <v/>
      </c>
      <c r="D501" s="47"/>
      <c r="E501" s="52"/>
      <c r="F501" s="47"/>
      <c r="G501" s="36" t="e">
        <f ca="1">_xludf.IFNA(VLOOKUP(F501,'Category Setup'!B:D,3,0), "")</f>
        <v>#NAME?</v>
      </c>
      <c r="H501" s="47"/>
    </row>
    <row r="502" spans="2:8" ht="15.75" customHeight="1" x14ac:dyDescent="0.2">
      <c r="B502" s="38"/>
      <c r="C502" s="28" t="str">
        <f t="shared" si="1"/>
        <v/>
      </c>
      <c r="D502" s="38"/>
      <c r="E502" s="53"/>
      <c r="F502" s="38"/>
      <c r="G502" s="31" t="e">
        <f ca="1">_xludf.IFNA(VLOOKUP(F502,'Category Setup'!B:D,3,0), "")</f>
        <v>#NAME?</v>
      </c>
      <c r="H502" s="38"/>
    </row>
    <row r="503" spans="2:8" ht="15.75" customHeight="1" x14ac:dyDescent="0.2">
      <c r="B503" s="47"/>
      <c r="C503" s="34" t="str">
        <f t="shared" si="1"/>
        <v/>
      </c>
      <c r="D503" s="47"/>
      <c r="E503" s="52"/>
      <c r="F503" s="47"/>
      <c r="G503" s="36" t="e">
        <f ca="1">_xludf.IFNA(VLOOKUP(F503,'Category Setup'!B:D,3,0), "")</f>
        <v>#NAME?</v>
      </c>
      <c r="H503" s="47"/>
    </row>
    <row r="504" spans="2:8" ht="15.75" customHeight="1" x14ac:dyDescent="0.2">
      <c r="B504" s="38"/>
      <c r="C504" s="28" t="str">
        <f t="shared" si="1"/>
        <v/>
      </c>
      <c r="D504" s="38"/>
      <c r="E504" s="53"/>
      <c r="F504" s="38"/>
      <c r="G504" s="31" t="e">
        <f ca="1">_xludf.IFNA(VLOOKUP(F504,'Category Setup'!B:D,3,0), "")</f>
        <v>#NAME?</v>
      </c>
      <c r="H504" s="38"/>
    </row>
    <row r="505" spans="2:8" ht="15.75" customHeight="1" x14ac:dyDescent="0.2">
      <c r="B505" s="47"/>
      <c r="C505" s="34" t="str">
        <f t="shared" si="1"/>
        <v/>
      </c>
      <c r="D505" s="47"/>
      <c r="E505" s="52"/>
      <c r="F505" s="47"/>
      <c r="G505" s="36" t="e">
        <f ca="1">_xludf.IFNA(VLOOKUP(F505,'Category Setup'!B:D,3,0), "")</f>
        <v>#NAME?</v>
      </c>
      <c r="H505" s="47"/>
    </row>
    <row r="506" spans="2:8" ht="15.75" customHeight="1" x14ac:dyDescent="0.2">
      <c r="B506" s="38"/>
      <c r="C506" s="28" t="str">
        <f t="shared" si="1"/>
        <v/>
      </c>
      <c r="D506" s="38"/>
      <c r="E506" s="53"/>
      <c r="F506" s="38"/>
      <c r="G506" s="31" t="e">
        <f ca="1">_xludf.IFNA(VLOOKUP(F506,'Category Setup'!B:D,3,0), "")</f>
        <v>#NAME?</v>
      </c>
      <c r="H506" s="38"/>
    </row>
    <row r="507" spans="2:8" ht="15.75" customHeight="1" x14ac:dyDescent="0.2">
      <c r="B507" s="47"/>
      <c r="C507" s="34" t="str">
        <f t="shared" si="1"/>
        <v/>
      </c>
      <c r="D507" s="47"/>
      <c r="E507" s="52"/>
      <c r="F507" s="47"/>
      <c r="G507" s="36" t="e">
        <f ca="1">_xludf.IFNA(VLOOKUP(F507,'Category Setup'!B:D,3,0), "")</f>
        <v>#NAME?</v>
      </c>
      <c r="H507" s="47"/>
    </row>
    <row r="508" spans="2:8" ht="15.75" customHeight="1" x14ac:dyDescent="0.2">
      <c r="B508" s="38"/>
      <c r="C508" s="28" t="str">
        <f t="shared" si="1"/>
        <v/>
      </c>
      <c r="D508" s="38"/>
      <c r="E508" s="53"/>
      <c r="F508" s="38"/>
      <c r="G508" s="31" t="e">
        <f ca="1">_xludf.IFNA(VLOOKUP(F508,'Category Setup'!B:D,3,0), "")</f>
        <v>#NAME?</v>
      </c>
      <c r="H508" s="38"/>
    </row>
    <row r="509" spans="2:8" ht="15.75" customHeight="1" x14ac:dyDescent="0.2">
      <c r="B509" s="47"/>
      <c r="C509" s="34" t="str">
        <f t="shared" si="1"/>
        <v/>
      </c>
      <c r="D509" s="47"/>
      <c r="E509" s="52"/>
      <c r="F509" s="47"/>
      <c r="G509" s="36" t="e">
        <f ca="1">_xludf.IFNA(VLOOKUP(F509,'Category Setup'!B:D,3,0), "")</f>
        <v>#NAME?</v>
      </c>
      <c r="H509" s="47"/>
    </row>
    <row r="510" spans="2:8" ht="15.75" customHeight="1" x14ac:dyDescent="0.2">
      <c r="B510" s="38"/>
      <c r="C510" s="28" t="str">
        <f t="shared" si="1"/>
        <v/>
      </c>
      <c r="D510" s="38"/>
      <c r="E510" s="53"/>
      <c r="F510" s="38"/>
      <c r="G510" s="31" t="e">
        <f ca="1">_xludf.IFNA(VLOOKUP(F510,'Category Setup'!B:D,3,0), "")</f>
        <v>#NAME?</v>
      </c>
      <c r="H510" s="38"/>
    </row>
    <row r="511" spans="2:8" ht="15.75" customHeight="1" x14ac:dyDescent="0.2">
      <c r="B511" s="47"/>
      <c r="C511" s="34" t="str">
        <f t="shared" si="1"/>
        <v/>
      </c>
      <c r="D511" s="47"/>
      <c r="E511" s="52"/>
      <c r="F511" s="47"/>
      <c r="G511" s="36" t="e">
        <f ca="1">_xludf.IFNA(VLOOKUP(F511,'Category Setup'!B:D,3,0), "")</f>
        <v>#NAME?</v>
      </c>
      <c r="H511" s="47"/>
    </row>
    <row r="512" spans="2:8" ht="15.75" customHeight="1" x14ac:dyDescent="0.2">
      <c r="B512" s="38"/>
      <c r="C512" s="28" t="str">
        <f t="shared" si="1"/>
        <v/>
      </c>
      <c r="D512" s="38"/>
      <c r="E512" s="53"/>
      <c r="F512" s="38"/>
      <c r="G512" s="31" t="e">
        <f ca="1">_xludf.IFNA(VLOOKUP(F512,'Category Setup'!B:D,3,0), "")</f>
        <v>#NAME?</v>
      </c>
      <c r="H512" s="38"/>
    </row>
    <row r="513" spans="2:8" ht="15.75" customHeight="1" x14ac:dyDescent="0.2">
      <c r="B513" s="47"/>
      <c r="C513" s="34" t="str">
        <f t="shared" si="1"/>
        <v/>
      </c>
      <c r="D513" s="47"/>
      <c r="E513" s="52"/>
      <c r="F513" s="47"/>
      <c r="G513" s="36" t="e">
        <f ca="1">_xludf.IFNA(VLOOKUP(F513,'Category Setup'!B:D,3,0), "")</f>
        <v>#NAME?</v>
      </c>
      <c r="H513" s="47"/>
    </row>
    <row r="514" spans="2:8" ht="15.75" customHeight="1" x14ac:dyDescent="0.2">
      <c r="B514" s="38"/>
      <c r="C514" s="28" t="str">
        <f t="shared" si="1"/>
        <v/>
      </c>
      <c r="D514" s="38"/>
      <c r="E514" s="53"/>
      <c r="F514" s="38"/>
      <c r="G514" s="31" t="e">
        <f ca="1">_xludf.IFNA(VLOOKUP(F514,'Category Setup'!B:D,3,0), "")</f>
        <v>#NAME?</v>
      </c>
      <c r="H514" s="38"/>
    </row>
    <row r="515" spans="2:8" ht="15.75" customHeight="1" x14ac:dyDescent="0.2">
      <c r="B515" s="47"/>
      <c r="C515" s="34" t="str">
        <f t="shared" si="1"/>
        <v/>
      </c>
      <c r="D515" s="47"/>
      <c r="E515" s="52"/>
      <c r="F515" s="47"/>
      <c r="G515" s="36" t="e">
        <f ca="1">_xludf.IFNA(VLOOKUP(F515,'Category Setup'!B:D,3,0), "")</f>
        <v>#NAME?</v>
      </c>
      <c r="H515" s="47"/>
    </row>
    <row r="516" spans="2:8" ht="15.75" customHeight="1" x14ac:dyDescent="0.2">
      <c r="B516" s="38"/>
      <c r="C516" s="28" t="str">
        <f t="shared" ref="C516:C770" si="2">IF(B516="", "", TEXT(B516, "MMM YY"))</f>
        <v/>
      </c>
      <c r="D516" s="38"/>
      <c r="E516" s="53"/>
      <c r="F516" s="38"/>
      <c r="G516" s="31" t="e">
        <f ca="1">_xludf.IFNA(VLOOKUP(F516,'Category Setup'!B:D,3,0), "")</f>
        <v>#NAME?</v>
      </c>
      <c r="H516" s="38"/>
    </row>
    <row r="517" spans="2:8" ht="15.75" customHeight="1" x14ac:dyDescent="0.2">
      <c r="B517" s="47"/>
      <c r="C517" s="34" t="str">
        <f t="shared" si="2"/>
        <v/>
      </c>
      <c r="D517" s="47"/>
      <c r="E517" s="52"/>
      <c r="F517" s="47"/>
      <c r="G517" s="36" t="e">
        <f ca="1">_xludf.IFNA(VLOOKUP(F517,'Category Setup'!B:D,3,0), "")</f>
        <v>#NAME?</v>
      </c>
      <c r="H517" s="47"/>
    </row>
    <row r="518" spans="2:8" ht="15.75" customHeight="1" x14ac:dyDescent="0.2">
      <c r="B518" s="38"/>
      <c r="C518" s="28" t="str">
        <f t="shared" si="2"/>
        <v/>
      </c>
      <c r="D518" s="38"/>
      <c r="E518" s="53"/>
      <c r="F518" s="38"/>
      <c r="G518" s="31" t="e">
        <f ca="1">_xludf.IFNA(VLOOKUP(F518,'Category Setup'!B:D,3,0), "")</f>
        <v>#NAME?</v>
      </c>
      <c r="H518" s="38"/>
    </row>
    <row r="519" spans="2:8" ht="15.75" customHeight="1" x14ac:dyDescent="0.2">
      <c r="B519" s="47"/>
      <c r="C519" s="34" t="str">
        <f t="shared" si="2"/>
        <v/>
      </c>
      <c r="D519" s="47"/>
      <c r="E519" s="52"/>
      <c r="F519" s="47"/>
      <c r="G519" s="36" t="e">
        <f ca="1">_xludf.IFNA(VLOOKUP(F519,'Category Setup'!B:D,3,0), "")</f>
        <v>#NAME?</v>
      </c>
      <c r="H519" s="47"/>
    </row>
    <row r="520" spans="2:8" ht="15.75" customHeight="1" x14ac:dyDescent="0.2">
      <c r="B520" s="38"/>
      <c r="C520" s="28" t="str">
        <f t="shared" si="2"/>
        <v/>
      </c>
      <c r="D520" s="38"/>
      <c r="E520" s="53"/>
      <c r="F520" s="38"/>
      <c r="G520" s="31" t="e">
        <f ca="1">_xludf.IFNA(VLOOKUP(F520,'Category Setup'!B:D,3,0), "")</f>
        <v>#NAME?</v>
      </c>
      <c r="H520" s="38"/>
    </row>
    <row r="521" spans="2:8" ht="15.75" customHeight="1" x14ac:dyDescent="0.2">
      <c r="B521" s="47"/>
      <c r="C521" s="34" t="str">
        <f t="shared" si="2"/>
        <v/>
      </c>
      <c r="D521" s="47"/>
      <c r="E521" s="52"/>
      <c r="F521" s="47"/>
      <c r="G521" s="36" t="e">
        <f ca="1">_xludf.IFNA(VLOOKUP(F521,'Category Setup'!B:D,3,0), "")</f>
        <v>#NAME?</v>
      </c>
      <c r="H521" s="47"/>
    </row>
    <row r="522" spans="2:8" ht="15.75" customHeight="1" x14ac:dyDescent="0.2">
      <c r="B522" s="38"/>
      <c r="C522" s="28" t="str">
        <f t="shared" si="2"/>
        <v/>
      </c>
      <c r="D522" s="38"/>
      <c r="E522" s="53"/>
      <c r="F522" s="38"/>
      <c r="G522" s="31" t="e">
        <f ca="1">_xludf.IFNA(VLOOKUP(F522,'Category Setup'!B:D,3,0), "")</f>
        <v>#NAME?</v>
      </c>
      <c r="H522" s="38"/>
    </row>
    <row r="523" spans="2:8" ht="15.75" customHeight="1" x14ac:dyDescent="0.2">
      <c r="B523" s="47"/>
      <c r="C523" s="34" t="str">
        <f t="shared" si="2"/>
        <v/>
      </c>
      <c r="D523" s="47"/>
      <c r="E523" s="52"/>
      <c r="F523" s="47"/>
      <c r="G523" s="36" t="e">
        <f ca="1">_xludf.IFNA(VLOOKUP(F523,'Category Setup'!B:D,3,0), "")</f>
        <v>#NAME?</v>
      </c>
      <c r="H523" s="47"/>
    </row>
    <row r="524" spans="2:8" ht="15.75" customHeight="1" x14ac:dyDescent="0.2">
      <c r="B524" s="38"/>
      <c r="C524" s="28" t="str">
        <f t="shared" si="2"/>
        <v/>
      </c>
      <c r="D524" s="38"/>
      <c r="E524" s="53"/>
      <c r="F524" s="38"/>
      <c r="G524" s="31" t="e">
        <f ca="1">_xludf.IFNA(VLOOKUP(F524,'Category Setup'!B:D,3,0), "")</f>
        <v>#NAME?</v>
      </c>
      <c r="H524" s="38"/>
    </row>
    <row r="525" spans="2:8" ht="15.75" customHeight="1" x14ac:dyDescent="0.2">
      <c r="B525" s="47"/>
      <c r="C525" s="34" t="str">
        <f t="shared" si="2"/>
        <v/>
      </c>
      <c r="D525" s="47"/>
      <c r="E525" s="52"/>
      <c r="F525" s="47"/>
      <c r="G525" s="36" t="e">
        <f ca="1">_xludf.IFNA(VLOOKUP(F525,'Category Setup'!B:D,3,0), "")</f>
        <v>#NAME?</v>
      </c>
      <c r="H525" s="47"/>
    </row>
    <row r="526" spans="2:8" ht="15.75" customHeight="1" x14ac:dyDescent="0.2">
      <c r="B526" s="38"/>
      <c r="C526" s="28" t="str">
        <f t="shared" si="2"/>
        <v/>
      </c>
      <c r="D526" s="38"/>
      <c r="E526" s="53"/>
      <c r="F526" s="38"/>
      <c r="G526" s="31" t="e">
        <f ca="1">_xludf.IFNA(VLOOKUP(F526,'Category Setup'!B:D,3,0), "")</f>
        <v>#NAME?</v>
      </c>
      <c r="H526" s="38"/>
    </row>
    <row r="527" spans="2:8" ht="15.75" customHeight="1" x14ac:dyDescent="0.2">
      <c r="B527" s="47"/>
      <c r="C527" s="34" t="str">
        <f t="shared" si="2"/>
        <v/>
      </c>
      <c r="D527" s="47"/>
      <c r="E527" s="52"/>
      <c r="F527" s="47"/>
      <c r="G527" s="36" t="e">
        <f ca="1">_xludf.IFNA(VLOOKUP(F527,'Category Setup'!B:D,3,0), "")</f>
        <v>#NAME?</v>
      </c>
      <c r="H527" s="47"/>
    </row>
    <row r="528" spans="2:8" ht="15.75" customHeight="1" x14ac:dyDescent="0.2">
      <c r="B528" s="38"/>
      <c r="C528" s="28" t="str">
        <f t="shared" si="2"/>
        <v/>
      </c>
      <c r="D528" s="38"/>
      <c r="E528" s="53"/>
      <c r="F528" s="38"/>
      <c r="G528" s="31" t="e">
        <f ca="1">_xludf.IFNA(VLOOKUP(F528,'Category Setup'!B:D,3,0), "")</f>
        <v>#NAME?</v>
      </c>
      <c r="H528" s="38"/>
    </row>
    <row r="529" spans="2:8" ht="15.75" customHeight="1" x14ac:dyDescent="0.2">
      <c r="B529" s="47"/>
      <c r="C529" s="34" t="str">
        <f t="shared" si="2"/>
        <v/>
      </c>
      <c r="D529" s="47"/>
      <c r="E529" s="52"/>
      <c r="F529" s="47"/>
      <c r="G529" s="36" t="e">
        <f ca="1">_xludf.IFNA(VLOOKUP(F529,'Category Setup'!B:D,3,0), "")</f>
        <v>#NAME?</v>
      </c>
      <c r="H529" s="47"/>
    </row>
    <row r="530" spans="2:8" ht="15.75" customHeight="1" x14ac:dyDescent="0.2">
      <c r="B530" s="38"/>
      <c r="C530" s="28" t="str">
        <f t="shared" si="2"/>
        <v/>
      </c>
      <c r="D530" s="38"/>
      <c r="E530" s="53"/>
      <c r="F530" s="38"/>
      <c r="G530" s="31" t="e">
        <f ca="1">_xludf.IFNA(VLOOKUP(F530,'Category Setup'!B:D,3,0), "")</f>
        <v>#NAME?</v>
      </c>
      <c r="H530" s="38"/>
    </row>
    <row r="531" spans="2:8" ht="15.75" customHeight="1" x14ac:dyDescent="0.2">
      <c r="B531" s="47"/>
      <c r="C531" s="34" t="str">
        <f t="shared" si="2"/>
        <v/>
      </c>
      <c r="D531" s="47"/>
      <c r="E531" s="52"/>
      <c r="F531" s="47"/>
      <c r="G531" s="36" t="e">
        <f ca="1">_xludf.IFNA(VLOOKUP(F531,'Category Setup'!B:D,3,0), "")</f>
        <v>#NAME?</v>
      </c>
      <c r="H531" s="47"/>
    </row>
    <row r="532" spans="2:8" ht="15.75" customHeight="1" x14ac:dyDescent="0.2">
      <c r="B532" s="38"/>
      <c r="C532" s="28" t="str">
        <f t="shared" si="2"/>
        <v/>
      </c>
      <c r="D532" s="38"/>
      <c r="E532" s="53"/>
      <c r="F532" s="38"/>
      <c r="G532" s="31" t="e">
        <f ca="1">_xludf.IFNA(VLOOKUP(F532,'Category Setup'!B:D,3,0), "")</f>
        <v>#NAME?</v>
      </c>
      <c r="H532" s="38"/>
    </row>
    <row r="533" spans="2:8" ht="15.75" customHeight="1" x14ac:dyDescent="0.2">
      <c r="B533" s="47"/>
      <c r="C533" s="34" t="str">
        <f t="shared" si="2"/>
        <v/>
      </c>
      <c r="D533" s="47"/>
      <c r="E533" s="52"/>
      <c r="F533" s="47"/>
      <c r="G533" s="36" t="e">
        <f ca="1">_xludf.IFNA(VLOOKUP(F533,'Category Setup'!B:D,3,0), "")</f>
        <v>#NAME?</v>
      </c>
      <c r="H533" s="47"/>
    </row>
    <row r="534" spans="2:8" ht="15.75" customHeight="1" x14ac:dyDescent="0.2">
      <c r="B534" s="38"/>
      <c r="C534" s="28" t="str">
        <f t="shared" si="2"/>
        <v/>
      </c>
      <c r="D534" s="38"/>
      <c r="E534" s="53"/>
      <c r="F534" s="38"/>
      <c r="G534" s="31" t="e">
        <f ca="1">_xludf.IFNA(VLOOKUP(F534,'Category Setup'!B:D,3,0), "")</f>
        <v>#NAME?</v>
      </c>
      <c r="H534" s="38"/>
    </row>
    <row r="535" spans="2:8" ht="15.75" customHeight="1" x14ac:dyDescent="0.2">
      <c r="B535" s="47"/>
      <c r="C535" s="34" t="str">
        <f t="shared" si="2"/>
        <v/>
      </c>
      <c r="D535" s="47"/>
      <c r="E535" s="52"/>
      <c r="F535" s="47"/>
      <c r="G535" s="36" t="e">
        <f ca="1">_xludf.IFNA(VLOOKUP(F535,'Category Setup'!B:D,3,0), "")</f>
        <v>#NAME?</v>
      </c>
      <c r="H535" s="47"/>
    </row>
    <row r="536" spans="2:8" ht="15.75" customHeight="1" x14ac:dyDescent="0.2">
      <c r="B536" s="38"/>
      <c r="C536" s="28" t="str">
        <f t="shared" si="2"/>
        <v/>
      </c>
      <c r="D536" s="38"/>
      <c r="E536" s="53"/>
      <c r="F536" s="38"/>
      <c r="G536" s="31" t="e">
        <f ca="1">_xludf.IFNA(VLOOKUP(F536,'Category Setup'!B:D,3,0), "")</f>
        <v>#NAME?</v>
      </c>
      <c r="H536" s="38"/>
    </row>
    <row r="537" spans="2:8" ht="15.75" customHeight="1" x14ac:dyDescent="0.2">
      <c r="B537" s="47"/>
      <c r="C537" s="34" t="str">
        <f t="shared" si="2"/>
        <v/>
      </c>
      <c r="D537" s="47"/>
      <c r="E537" s="52"/>
      <c r="F537" s="47"/>
      <c r="G537" s="36" t="e">
        <f ca="1">_xludf.IFNA(VLOOKUP(F537,'Category Setup'!B:D,3,0), "")</f>
        <v>#NAME?</v>
      </c>
      <c r="H537" s="47"/>
    </row>
    <row r="538" spans="2:8" ht="15.75" customHeight="1" x14ac:dyDescent="0.2">
      <c r="B538" s="38"/>
      <c r="C538" s="28" t="str">
        <f t="shared" si="2"/>
        <v/>
      </c>
      <c r="D538" s="38"/>
      <c r="E538" s="53"/>
      <c r="F538" s="38"/>
      <c r="G538" s="31" t="e">
        <f ca="1">_xludf.IFNA(VLOOKUP(F538,'Category Setup'!B:D,3,0), "")</f>
        <v>#NAME?</v>
      </c>
      <c r="H538" s="38"/>
    </row>
    <row r="539" spans="2:8" ht="15.75" customHeight="1" x14ac:dyDescent="0.2">
      <c r="B539" s="47"/>
      <c r="C539" s="34" t="str">
        <f t="shared" si="2"/>
        <v/>
      </c>
      <c r="D539" s="47"/>
      <c r="E539" s="52"/>
      <c r="F539" s="47"/>
      <c r="G539" s="36" t="e">
        <f ca="1">_xludf.IFNA(VLOOKUP(F539,'Category Setup'!B:D,3,0), "")</f>
        <v>#NAME?</v>
      </c>
      <c r="H539" s="47"/>
    </row>
    <row r="540" spans="2:8" ht="15.75" customHeight="1" x14ac:dyDescent="0.2">
      <c r="B540" s="38"/>
      <c r="C540" s="28" t="str">
        <f t="shared" si="2"/>
        <v/>
      </c>
      <c r="D540" s="38"/>
      <c r="E540" s="53"/>
      <c r="F540" s="38"/>
      <c r="G540" s="31" t="e">
        <f ca="1">_xludf.IFNA(VLOOKUP(F540,'Category Setup'!B:D,3,0), "")</f>
        <v>#NAME?</v>
      </c>
      <c r="H540" s="38"/>
    </row>
    <row r="541" spans="2:8" ht="15.75" customHeight="1" x14ac:dyDescent="0.2">
      <c r="B541" s="47"/>
      <c r="C541" s="34" t="str">
        <f t="shared" si="2"/>
        <v/>
      </c>
      <c r="D541" s="47"/>
      <c r="E541" s="52"/>
      <c r="F541" s="47"/>
      <c r="G541" s="36" t="e">
        <f ca="1">_xludf.IFNA(VLOOKUP(F541,'Category Setup'!B:D,3,0), "")</f>
        <v>#NAME?</v>
      </c>
      <c r="H541" s="47"/>
    </row>
    <row r="542" spans="2:8" ht="15.75" customHeight="1" x14ac:dyDescent="0.2">
      <c r="B542" s="38"/>
      <c r="C542" s="28" t="str">
        <f t="shared" si="2"/>
        <v/>
      </c>
      <c r="D542" s="38"/>
      <c r="E542" s="53"/>
      <c r="F542" s="38"/>
      <c r="G542" s="31" t="e">
        <f ca="1">_xludf.IFNA(VLOOKUP(F542,'Category Setup'!B:D,3,0), "")</f>
        <v>#NAME?</v>
      </c>
      <c r="H542" s="38"/>
    </row>
    <row r="543" spans="2:8" ht="15.75" customHeight="1" x14ac:dyDescent="0.2">
      <c r="B543" s="47"/>
      <c r="C543" s="34" t="str">
        <f t="shared" si="2"/>
        <v/>
      </c>
      <c r="D543" s="47"/>
      <c r="E543" s="52"/>
      <c r="F543" s="47"/>
      <c r="G543" s="36" t="e">
        <f ca="1">_xludf.IFNA(VLOOKUP(F543,'Category Setup'!B:D,3,0), "")</f>
        <v>#NAME?</v>
      </c>
      <c r="H543" s="47"/>
    </row>
    <row r="544" spans="2:8" ht="15.75" customHeight="1" x14ac:dyDescent="0.2">
      <c r="B544" s="38"/>
      <c r="C544" s="28" t="str">
        <f t="shared" si="2"/>
        <v/>
      </c>
      <c r="D544" s="38"/>
      <c r="E544" s="53"/>
      <c r="F544" s="38"/>
      <c r="G544" s="31" t="e">
        <f ca="1">_xludf.IFNA(VLOOKUP(F544,'Category Setup'!B:D,3,0), "")</f>
        <v>#NAME?</v>
      </c>
      <c r="H544" s="38"/>
    </row>
    <row r="545" spans="2:8" ht="15.75" customHeight="1" x14ac:dyDescent="0.2">
      <c r="B545" s="47"/>
      <c r="C545" s="34" t="str">
        <f t="shared" si="2"/>
        <v/>
      </c>
      <c r="D545" s="47"/>
      <c r="E545" s="52"/>
      <c r="F545" s="47"/>
      <c r="G545" s="36" t="e">
        <f ca="1">_xludf.IFNA(VLOOKUP(F545,'Category Setup'!B:D,3,0), "")</f>
        <v>#NAME?</v>
      </c>
      <c r="H545" s="47"/>
    </row>
    <row r="546" spans="2:8" ht="15.75" customHeight="1" x14ac:dyDescent="0.2">
      <c r="B546" s="38"/>
      <c r="C546" s="28" t="str">
        <f t="shared" si="2"/>
        <v/>
      </c>
      <c r="D546" s="38"/>
      <c r="E546" s="53"/>
      <c r="F546" s="38"/>
      <c r="G546" s="31" t="e">
        <f ca="1">_xludf.IFNA(VLOOKUP(F546,'Category Setup'!B:D,3,0), "")</f>
        <v>#NAME?</v>
      </c>
      <c r="H546" s="38"/>
    </row>
    <row r="547" spans="2:8" ht="15.75" customHeight="1" x14ac:dyDescent="0.2">
      <c r="B547" s="47"/>
      <c r="C547" s="34" t="str">
        <f t="shared" si="2"/>
        <v/>
      </c>
      <c r="D547" s="47"/>
      <c r="E547" s="52"/>
      <c r="F547" s="47"/>
      <c r="G547" s="36" t="e">
        <f ca="1">_xludf.IFNA(VLOOKUP(F547,'Category Setup'!B:D,3,0), "")</f>
        <v>#NAME?</v>
      </c>
      <c r="H547" s="47"/>
    </row>
    <row r="548" spans="2:8" ht="15.75" customHeight="1" x14ac:dyDescent="0.2">
      <c r="B548" s="38"/>
      <c r="C548" s="28" t="str">
        <f t="shared" si="2"/>
        <v/>
      </c>
      <c r="D548" s="38"/>
      <c r="E548" s="53"/>
      <c r="F548" s="38"/>
      <c r="G548" s="31" t="e">
        <f ca="1">_xludf.IFNA(VLOOKUP(F548,'Category Setup'!B:D,3,0), "")</f>
        <v>#NAME?</v>
      </c>
      <c r="H548" s="38"/>
    </row>
    <row r="549" spans="2:8" ht="15.75" customHeight="1" x14ac:dyDescent="0.2">
      <c r="B549" s="47"/>
      <c r="C549" s="34" t="str">
        <f t="shared" si="2"/>
        <v/>
      </c>
      <c r="D549" s="47"/>
      <c r="E549" s="52"/>
      <c r="F549" s="47"/>
      <c r="G549" s="36" t="e">
        <f ca="1">_xludf.IFNA(VLOOKUP(F549,'Category Setup'!B:D,3,0), "")</f>
        <v>#NAME?</v>
      </c>
      <c r="H549" s="47"/>
    </row>
    <row r="550" spans="2:8" ht="15.75" customHeight="1" x14ac:dyDescent="0.2">
      <c r="B550" s="38"/>
      <c r="C550" s="28" t="str">
        <f t="shared" si="2"/>
        <v/>
      </c>
      <c r="D550" s="38"/>
      <c r="E550" s="53"/>
      <c r="F550" s="38"/>
      <c r="G550" s="31" t="e">
        <f ca="1">_xludf.IFNA(VLOOKUP(F550,'Category Setup'!B:D,3,0), "")</f>
        <v>#NAME?</v>
      </c>
      <c r="H550" s="38"/>
    </row>
    <row r="551" spans="2:8" ht="15.75" customHeight="1" x14ac:dyDescent="0.2">
      <c r="B551" s="47"/>
      <c r="C551" s="34" t="str">
        <f t="shared" si="2"/>
        <v/>
      </c>
      <c r="D551" s="47"/>
      <c r="E551" s="52"/>
      <c r="F551" s="47"/>
      <c r="G551" s="36" t="e">
        <f ca="1">_xludf.IFNA(VLOOKUP(F551,'Category Setup'!B:D,3,0), "")</f>
        <v>#NAME?</v>
      </c>
      <c r="H551" s="47"/>
    </row>
    <row r="552" spans="2:8" ht="15.75" customHeight="1" x14ac:dyDescent="0.2">
      <c r="B552" s="38"/>
      <c r="C552" s="28" t="str">
        <f t="shared" si="2"/>
        <v/>
      </c>
      <c r="D552" s="38"/>
      <c r="E552" s="53"/>
      <c r="F552" s="38"/>
      <c r="G552" s="31" t="e">
        <f ca="1">_xludf.IFNA(VLOOKUP(F552,'Category Setup'!B:D,3,0), "")</f>
        <v>#NAME?</v>
      </c>
      <c r="H552" s="38"/>
    </row>
    <row r="553" spans="2:8" ht="15.75" customHeight="1" x14ac:dyDescent="0.2">
      <c r="B553" s="47"/>
      <c r="C553" s="34" t="str">
        <f t="shared" si="2"/>
        <v/>
      </c>
      <c r="D553" s="47"/>
      <c r="E553" s="52"/>
      <c r="F553" s="47"/>
      <c r="G553" s="36" t="e">
        <f ca="1">_xludf.IFNA(VLOOKUP(F553,'Category Setup'!B:D,3,0), "")</f>
        <v>#NAME?</v>
      </c>
      <c r="H553" s="47"/>
    </row>
    <row r="554" spans="2:8" ht="15.75" customHeight="1" x14ac:dyDescent="0.2">
      <c r="B554" s="38"/>
      <c r="C554" s="28" t="str">
        <f t="shared" si="2"/>
        <v/>
      </c>
      <c r="D554" s="38"/>
      <c r="E554" s="53"/>
      <c r="F554" s="38"/>
      <c r="G554" s="31" t="e">
        <f ca="1">_xludf.IFNA(VLOOKUP(F554,'Category Setup'!B:D,3,0), "")</f>
        <v>#NAME?</v>
      </c>
      <c r="H554" s="38"/>
    </row>
    <row r="555" spans="2:8" ht="15.75" customHeight="1" x14ac:dyDescent="0.2">
      <c r="B555" s="47"/>
      <c r="C555" s="34" t="str">
        <f t="shared" si="2"/>
        <v/>
      </c>
      <c r="D555" s="47"/>
      <c r="E555" s="52"/>
      <c r="F555" s="47"/>
      <c r="G555" s="36" t="e">
        <f ca="1">_xludf.IFNA(VLOOKUP(F555,'Category Setup'!B:D,3,0), "")</f>
        <v>#NAME?</v>
      </c>
      <c r="H555" s="47"/>
    </row>
    <row r="556" spans="2:8" ht="15.75" customHeight="1" x14ac:dyDescent="0.2">
      <c r="B556" s="38"/>
      <c r="C556" s="28" t="str">
        <f t="shared" si="2"/>
        <v/>
      </c>
      <c r="D556" s="38"/>
      <c r="E556" s="53"/>
      <c r="F556" s="38"/>
      <c r="G556" s="31" t="e">
        <f ca="1">_xludf.IFNA(VLOOKUP(F556,'Category Setup'!B:D,3,0), "")</f>
        <v>#NAME?</v>
      </c>
      <c r="H556" s="38"/>
    </row>
    <row r="557" spans="2:8" ht="15.75" customHeight="1" x14ac:dyDescent="0.2">
      <c r="B557" s="47"/>
      <c r="C557" s="34" t="str">
        <f t="shared" si="2"/>
        <v/>
      </c>
      <c r="D557" s="47"/>
      <c r="E557" s="52"/>
      <c r="F557" s="47"/>
      <c r="G557" s="36" t="e">
        <f ca="1">_xludf.IFNA(VLOOKUP(F557,'Category Setup'!B:D,3,0), "")</f>
        <v>#NAME?</v>
      </c>
      <c r="H557" s="47"/>
    </row>
    <row r="558" spans="2:8" ht="15.75" customHeight="1" x14ac:dyDescent="0.2">
      <c r="B558" s="38"/>
      <c r="C558" s="28" t="str">
        <f t="shared" si="2"/>
        <v/>
      </c>
      <c r="D558" s="38"/>
      <c r="E558" s="53"/>
      <c r="F558" s="38"/>
      <c r="G558" s="31" t="e">
        <f ca="1">_xludf.IFNA(VLOOKUP(F558,'Category Setup'!B:D,3,0), "")</f>
        <v>#NAME?</v>
      </c>
      <c r="H558" s="38"/>
    </row>
    <row r="559" spans="2:8" ht="15.75" customHeight="1" x14ac:dyDescent="0.2">
      <c r="B559" s="47"/>
      <c r="C559" s="34" t="str">
        <f t="shared" si="2"/>
        <v/>
      </c>
      <c r="D559" s="47"/>
      <c r="E559" s="52"/>
      <c r="F559" s="47"/>
      <c r="G559" s="36" t="e">
        <f ca="1">_xludf.IFNA(VLOOKUP(F559,'Category Setup'!B:D,3,0), "")</f>
        <v>#NAME?</v>
      </c>
      <c r="H559" s="47"/>
    </row>
    <row r="560" spans="2:8" ht="15.75" customHeight="1" x14ac:dyDescent="0.2">
      <c r="B560" s="38"/>
      <c r="C560" s="28" t="str">
        <f t="shared" si="2"/>
        <v/>
      </c>
      <c r="D560" s="38"/>
      <c r="E560" s="53"/>
      <c r="F560" s="38"/>
      <c r="G560" s="31" t="e">
        <f ca="1">_xludf.IFNA(VLOOKUP(F560,'Category Setup'!B:D,3,0), "")</f>
        <v>#NAME?</v>
      </c>
      <c r="H560" s="38"/>
    </row>
    <row r="561" spans="2:8" ht="15.75" customHeight="1" x14ac:dyDescent="0.2">
      <c r="B561" s="47"/>
      <c r="C561" s="34" t="str">
        <f t="shared" si="2"/>
        <v/>
      </c>
      <c r="D561" s="47"/>
      <c r="E561" s="52"/>
      <c r="F561" s="47"/>
      <c r="G561" s="36" t="e">
        <f ca="1">_xludf.IFNA(VLOOKUP(F561,'Category Setup'!B:D,3,0), "")</f>
        <v>#NAME?</v>
      </c>
      <c r="H561" s="47"/>
    </row>
    <row r="562" spans="2:8" ht="15.75" customHeight="1" x14ac:dyDescent="0.2">
      <c r="B562" s="38"/>
      <c r="C562" s="28" t="str">
        <f t="shared" si="2"/>
        <v/>
      </c>
      <c r="D562" s="38"/>
      <c r="E562" s="53"/>
      <c r="F562" s="38"/>
      <c r="G562" s="31" t="e">
        <f ca="1">_xludf.IFNA(VLOOKUP(F562,'Category Setup'!B:D,3,0), "")</f>
        <v>#NAME?</v>
      </c>
      <c r="H562" s="38"/>
    </row>
    <row r="563" spans="2:8" ht="15.75" customHeight="1" x14ac:dyDescent="0.2">
      <c r="B563" s="47"/>
      <c r="C563" s="34" t="str">
        <f t="shared" si="2"/>
        <v/>
      </c>
      <c r="D563" s="47"/>
      <c r="E563" s="52"/>
      <c r="F563" s="47"/>
      <c r="G563" s="36" t="e">
        <f ca="1">_xludf.IFNA(VLOOKUP(F563,'Category Setup'!B:D,3,0), "")</f>
        <v>#NAME?</v>
      </c>
      <c r="H563" s="47"/>
    </row>
    <row r="564" spans="2:8" ht="15.75" customHeight="1" x14ac:dyDescent="0.2">
      <c r="B564" s="38"/>
      <c r="C564" s="28" t="str">
        <f t="shared" si="2"/>
        <v/>
      </c>
      <c r="D564" s="38"/>
      <c r="E564" s="53"/>
      <c r="F564" s="38"/>
      <c r="G564" s="31" t="e">
        <f ca="1">_xludf.IFNA(VLOOKUP(F564,'Category Setup'!B:D,3,0), "")</f>
        <v>#NAME?</v>
      </c>
      <c r="H564" s="38"/>
    </row>
    <row r="565" spans="2:8" ht="15.75" customHeight="1" x14ac:dyDescent="0.2">
      <c r="B565" s="47"/>
      <c r="C565" s="34" t="str">
        <f t="shared" si="2"/>
        <v/>
      </c>
      <c r="D565" s="47"/>
      <c r="E565" s="52"/>
      <c r="F565" s="47"/>
      <c r="G565" s="36" t="e">
        <f ca="1">_xludf.IFNA(VLOOKUP(F565,'Category Setup'!B:D,3,0), "")</f>
        <v>#NAME?</v>
      </c>
      <c r="H565" s="47"/>
    </row>
    <row r="566" spans="2:8" ht="15.75" customHeight="1" x14ac:dyDescent="0.2">
      <c r="B566" s="38"/>
      <c r="C566" s="28" t="str">
        <f t="shared" si="2"/>
        <v/>
      </c>
      <c r="D566" s="38"/>
      <c r="E566" s="53"/>
      <c r="F566" s="38"/>
      <c r="G566" s="31" t="e">
        <f ca="1">_xludf.IFNA(VLOOKUP(F566,'Category Setup'!B:D,3,0), "")</f>
        <v>#NAME?</v>
      </c>
      <c r="H566" s="38"/>
    </row>
    <row r="567" spans="2:8" ht="15.75" customHeight="1" x14ac:dyDescent="0.2">
      <c r="B567" s="47"/>
      <c r="C567" s="34" t="str">
        <f t="shared" si="2"/>
        <v/>
      </c>
      <c r="D567" s="47"/>
      <c r="E567" s="52"/>
      <c r="F567" s="47"/>
      <c r="G567" s="36" t="e">
        <f ca="1">_xludf.IFNA(VLOOKUP(F567,'Category Setup'!B:D,3,0), "")</f>
        <v>#NAME?</v>
      </c>
      <c r="H567" s="47"/>
    </row>
    <row r="568" spans="2:8" ht="15.75" customHeight="1" x14ac:dyDescent="0.2">
      <c r="B568" s="38"/>
      <c r="C568" s="28" t="str">
        <f t="shared" si="2"/>
        <v/>
      </c>
      <c r="D568" s="38"/>
      <c r="E568" s="53"/>
      <c r="F568" s="38"/>
      <c r="G568" s="31" t="e">
        <f ca="1">_xludf.IFNA(VLOOKUP(F568,'Category Setup'!B:D,3,0), "")</f>
        <v>#NAME?</v>
      </c>
      <c r="H568" s="38"/>
    </row>
    <row r="569" spans="2:8" ht="15.75" customHeight="1" x14ac:dyDescent="0.2">
      <c r="B569" s="47"/>
      <c r="C569" s="34" t="str">
        <f t="shared" si="2"/>
        <v/>
      </c>
      <c r="D569" s="47"/>
      <c r="E569" s="52"/>
      <c r="F569" s="47"/>
      <c r="G569" s="36" t="e">
        <f ca="1">_xludf.IFNA(VLOOKUP(F569,'Category Setup'!B:D,3,0), "")</f>
        <v>#NAME?</v>
      </c>
      <c r="H569" s="47"/>
    </row>
    <row r="570" spans="2:8" ht="15.75" customHeight="1" x14ac:dyDescent="0.2">
      <c r="B570" s="38"/>
      <c r="C570" s="28" t="str">
        <f t="shared" si="2"/>
        <v/>
      </c>
      <c r="D570" s="38"/>
      <c r="E570" s="53"/>
      <c r="F570" s="38"/>
      <c r="G570" s="31" t="e">
        <f ca="1">_xludf.IFNA(VLOOKUP(F570,'Category Setup'!B:D,3,0), "")</f>
        <v>#NAME?</v>
      </c>
      <c r="H570" s="38"/>
    </row>
    <row r="571" spans="2:8" ht="15.75" customHeight="1" x14ac:dyDescent="0.2">
      <c r="B571" s="47"/>
      <c r="C571" s="34" t="str">
        <f t="shared" si="2"/>
        <v/>
      </c>
      <c r="D571" s="47"/>
      <c r="E571" s="52"/>
      <c r="F571" s="47"/>
      <c r="G571" s="36" t="e">
        <f ca="1">_xludf.IFNA(VLOOKUP(F571,'Category Setup'!B:D,3,0), "")</f>
        <v>#NAME?</v>
      </c>
      <c r="H571" s="47"/>
    </row>
    <row r="572" spans="2:8" ht="15.75" customHeight="1" x14ac:dyDescent="0.2">
      <c r="B572" s="38"/>
      <c r="C572" s="28" t="str">
        <f t="shared" si="2"/>
        <v/>
      </c>
      <c r="D572" s="38"/>
      <c r="E572" s="53"/>
      <c r="F572" s="38"/>
      <c r="G572" s="31" t="e">
        <f ca="1">_xludf.IFNA(VLOOKUP(F572,'Category Setup'!B:D,3,0), "")</f>
        <v>#NAME?</v>
      </c>
      <c r="H572" s="38"/>
    </row>
    <row r="573" spans="2:8" ht="15.75" customHeight="1" x14ac:dyDescent="0.2">
      <c r="B573" s="47"/>
      <c r="C573" s="34" t="str">
        <f t="shared" si="2"/>
        <v/>
      </c>
      <c r="D573" s="47"/>
      <c r="E573" s="52"/>
      <c r="F573" s="47"/>
      <c r="G573" s="36" t="e">
        <f ca="1">_xludf.IFNA(VLOOKUP(F573,'Category Setup'!B:D,3,0), "")</f>
        <v>#NAME?</v>
      </c>
      <c r="H573" s="47"/>
    </row>
    <row r="574" spans="2:8" ht="15.75" customHeight="1" x14ac:dyDescent="0.2">
      <c r="B574" s="38"/>
      <c r="C574" s="28" t="str">
        <f t="shared" si="2"/>
        <v/>
      </c>
      <c r="D574" s="38"/>
      <c r="E574" s="53"/>
      <c r="F574" s="38"/>
      <c r="G574" s="31" t="e">
        <f ca="1">_xludf.IFNA(VLOOKUP(F574,'Category Setup'!B:D,3,0), "")</f>
        <v>#NAME?</v>
      </c>
      <c r="H574" s="38"/>
    </row>
    <row r="575" spans="2:8" ht="15.75" customHeight="1" x14ac:dyDescent="0.2">
      <c r="B575" s="47"/>
      <c r="C575" s="34" t="str">
        <f t="shared" si="2"/>
        <v/>
      </c>
      <c r="D575" s="47"/>
      <c r="E575" s="52"/>
      <c r="F575" s="47"/>
      <c r="G575" s="36" t="e">
        <f ca="1">_xludf.IFNA(VLOOKUP(F575,'Category Setup'!B:D,3,0), "")</f>
        <v>#NAME?</v>
      </c>
      <c r="H575" s="47"/>
    </row>
    <row r="576" spans="2:8" ht="15.75" customHeight="1" x14ac:dyDescent="0.2">
      <c r="B576" s="38"/>
      <c r="C576" s="28" t="str">
        <f t="shared" si="2"/>
        <v/>
      </c>
      <c r="D576" s="38"/>
      <c r="E576" s="53"/>
      <c r="F576" s="38"/>
      <c r="G576" s="31" t="e">
        <f ca="1">_xludf.IFNA(VLOOKUP(F576,'Category Setup'!B:D,3,0), "")</f>
        <v>#NAME?</v>
      </c>
      <c r="H576" s="38"/>
    </row>
    <row r="577" spans="2:8" ht="15.75" customHeight="1" x14ac:dyDescent="0.2">
      <c r="B577" s="47"/>
      <c r="C577" s="34" t="str">
        <f t="shared" si="2"/>
        <v/>
      </c>
      <c r="D577" s="47"/>
      <c r="E577" s="52"/>
      <c r="F577" s="47"/>
      <c r="G577" s="36" t="e">
        <f ca="1">_xludf.IFNA(VLOOKUP(F577,'Category Setup'!B:D,3,0), "")</f>
        <v>#NAME?</v>
      </c>
      <c r="H577" s="47"/>
    </row>
    <row r="578" spans="2:8" ht="15.75" customHeight="1" x14ac:dyDescent="0.2">
      <c r="B578" s="38"/>
      <c r="C578" s="28" t="str">
        <f t="shared" si="2"/>
        <v/>
      </c>
      <c r="D578" s="38"/>
      <c r="E578" s="53"/>
      <c r="F578" s="38"/>
      <c r="G578" s="31" t="e">
        <f ca="1">_xludf.IFNA(VLOOKUP(F578,'Category Setup'!B:D,3,0), "")</f>
        <v>#NAME?</v>
      </c>
      <c r="H578" s="38"/>
    </row>
    <row r="579" spans="2:8" ht="15.75" customHeight="1" x14ac:dyDescent="0.2">
      <c r="B579" s="47"/>
      <c r="C579" s="34" t="str">
        <f t="shared" si="2"/>
        <v/>
      </c>
      <c r="D579" s="47"/>
      <c r="E579" s="52"/>
      <c r="F579" s="47"/>
      <c r="G579" s="36" t="e">
        <f ca="1">_xludf.IFNA(VLOOKUP(F579,'Category Setup'!B:D,3,0), "")</f>
        <v>#NAME?</v>
      </c>
      <c r="H579" s="47"/>
    </row>
    <row r="580" spans="2:8" ht="15.75" customHeight="1" x14ac:dyDescent="0.2">
      <c r="B580" s="38"/>
      <c r="C580" s="28" t="str">
        <f t="shared" si="2"/>
        <v/>
      </c>
      <c r="D580" s="38"/>
      <c r="E580" s="53"/>
      <c r="F580" s="38"/>
      <c r="G580" s="31" t="e">
        <f ca="1">_xludf.IFNA(VLOOKUP(F580,'Category Setup'!B:D,3,0), "")</f>
        <v>#NAME?</v>
      </c>
      <c r="H580" s="38"/>
    </row>
    <row r="581" spans="2:8" ht="15.75" customHeight="1" x14ac:dyDescent="0.2">
      <c r="B581" s="47"/>
      <c r="C581" s="34" t="str">
        <f t="shared" si="2"/>
        <v/>
      </c>
      <c r="D581" s="47"/>
      <c r="E581" s="52"/>
      <c r="F581" s="47"/>
      <c r="G581" s="36" t="e">
        <f ca="1">_xludf.IFNA(VLOOKUP(F581,'Category Setup'!B:D,3,0), "")</f>
        <v>#NAME?</v>
      </c>
      <c r="H581" s="47"/>
    </row>
    <row r="582" spans="2:8" ht="15.75" customHeight="1" x14ac:dyDescent="0.2">
      <c r="B582" s="38"/>
      <c r="C582" s="28" t="str">
        <f t="shared" si="2"/>
        <v/>
      </c>
      <c r="D582" s="38"/>
      <c r="E582" s="53"/>
      <c r="F582" s="38"/>
      <c r="G582" s="31" t="e">
        <f ca="1">_xludf.IFNA(VLOOKUP(F582,'Category Setup'!B:D,3,0), "")</f>
        <v>#NAME?</v>
      </c>
      <c r="H582" s="38"/>
    </row>
    <row r="583" spans="2:8" ht="15.75" customHeight="1" x14ac:dyDescent="0.2">
      <c r="B583" s="47"/>
      <c r="C583" s="34" t="str">
        <f t="shared" si="2"/>
        <v/>
      </c>
      <c r="D583" s="47"/>
      <c r="E583" s="52"/>
      <c r="F583" s="47"/>
      <c r="G583" s="36" t="e">
        <f ca="1">_xludf.IFNA(VLOOKUP(F583,'Category Setup'!B:D,3,0), "")</f>
        <v>#NAME?</v>
      </c>
      <c r="H583" s="47"/>
    </row>
    <row r="584" spans="2:8" ht="15.75" customHeight="1" x14ac:dyDescent="0.2">
      <c r="B584" s="38"/>
      <c r="C584" s="28" t="str">
        <f t="shared" si="2"/>
        <v/>
      </c>
      <c r="D584" s="38"/>
      <c r="E584" s="53"/>
      <c r="F584" s="38"/>
      <c r="G584" s="31" t="e">
        <f ca="1">_xludf.IFNA(VLOOKUP(F584,'Category Setup'!B:D,3,0), "")</f>
        <v>#NAME?</v>
      </c>
      <c r="H584" s="38"/>
    </row>
    <row r="585" spans="2:8" ht="15.75" customHeight="1" x14ac:dyDescent="0.2">
      <c r="B585" s="47"/>
      <c r="C585" s="34" t="str">
        <f t="shared" si="2"/>
        <v/>
      </c>
      <c r="D585" s="47"/>
      <c r="E585" s="52"/>
      <c r="F585" s="47"/>
      <c r="G585" s="36" t="e">
        <f ca="1">_xludf.IFNA(VLOOKUP(F585,'Category Setup'!B:D,3,0), "")</f>
        <v>#NAME?</v>
      </c>
      <c r="H585" s="47"/>
    </row>
    <row r="586" spans="2:8" ht="15.75" customHeight="1" x14ac:dyDescent="0.2">
      <c r="B586" s="38"/>
      <c r="C586" s="28" t="str">
        <f t="shared" si="2"/>
        <v/>
      </c>
      <c r="D586" s="38"/>
      <c r="E586" s="53"/>
      <c r="F586" s="38"/>
      <c r="G586" s="31" t="e">
        <f ca="1">_xludf.IFNA(VLOOKUP(F586,'Category Setup'!B:D,3,0), "")</f>
        <v>#NAME?</v>
      </c>
      <c r="H586" s="38"/>
    </row>
    <row r="587" spans="2:8" ht="15.75" customHeight="1" x14ac:dyDescent="0.2">
      <c r="B587" s="47"/>
      <c r="C587" s="34" t="str">
        <f t="shared" si="2"/>
        <v/>
      </c>
      <c r="D587" s="47"/>
      <c r="E587" s="52"/>
      <c r="F587" s="47"/>
      <c r="G587" s="36" t="e">
        <f ca="1">_xludf.IFNA(VLOOKUP(F587,'Category Setup'!B:D,3,0), "")</f>
        <v>#NAME?</v>
      </c>
      <c r="H587" s="47"/>
    </row>
    <row r="588" spans="2:8" ht="15.75" customHeight="1" x14ac:dyDescent="0.2">
      <c r="B588" s="38"/>
      <c r="C588" s="28" t="str">
        <f t="shared" si="2"/>
        <v/>
      </c>
      <c r="D588" s="38"/>
      <c r="E588" s="53"/>
      <c r="F588" s="38"/>
      <c r="G588" s="31" t="e">
        <f ca="1">_xludf.IFNA(VLOOKUP(F588,'Category Setup'!B:D,3,0), "")</f>
        <v>#NAME?</v>
      </c>
      <c r="H588" s="38"/>
    </row>
    <row r="589" spans="2:8" ht="15.75" customHeight="1" x14ac:dyDescent="0.2">
      <c r="B589" s="47"/>
      <c r="C589" s="34" t="str">
        <f t="shared" si="2"/>
        <v/>
      </c>
      <c r="D589" s="47"/>
      <c r="E589" s="52"/>
      <c r="F589" s="47"/>
      <c r="G589" s="36" t="e">
        <f ca="1">_xludf.IFNA(VLOOKUP(F589,'Category Setup'!B:D,3,0), "")</f>
        <v>#NAME?</v>
      </c>
      <c r="H589" s="47"/>
    </row>
    <row r="590" spans="2:8" ht="15.75" customHeight="1" x14ac:dyDescent="0.2">
      <c r="B590" s="38"/>
      <c r="C590" s="28" t="str">
        <f t="shared" si="2"/>
        <v/>
      </c>
      <c r="D590" s="38"/>
      <c r="E590" s="53"/>
      <c r="F590" s="38"/>
      <c r="G590" s="31" t="e">
        <f ca="1">_xludf.IFNA(VLOOKUP(F590,'Category Setup'!B:D,3,0), "")</f>
        <v>#NAME?</v>
      </c>
      <c r="H590" s="38"/>
    </row>
    <row r="591" spans="2:8" ht="15.75" customHeight="1" x14ac:dyDescent="0.2">
      <c r="B591" s="47"/>
      <c r="C591" s="34" t="str">
        <f t="shared" si="2"/>
        <v/>
      </c>
      <c r="D591" s="47"/>
      <c r="E591" s="52"/>
      <c r="F591" s="47"/>
      <c r="G591" s="36" t="e">
        <f ca="1">_xludf.IFNA(VLOOKUP(F591,'Category Setup'!B:D,3,0), "")</f>
        <v>#NAME?</v>
      </c>
      <c r="H591" s="47"/>
    </row>
    <row r="592" spans="2:8" ht="15.75" customHeight="1" x14ac:dyDescent="0.2">
      <c r="B592" s="38"/>
      <c r="C592" s="28" t="str">
        <f t="shared" si="2"/>
        <v/>
      </c>
      <c r="D592" s="38"/>
      <c r="E592" s="53"/>
      <c r="F592" s="38"/>
      <c r="G592" s="31" t="e">
        <f ca="1">_xludf.IFNA(VLOOKUP(F592,'Category Setup'!B:D,3,0), "")</f>
        <v>#NAME?</v>
      </c>
      <c r="H592" s="38"/>
    </row>
    <row r="593" spans="2:8" ht="15.75" customHeight="1" x14ac:dyDescent="0.2">
      <c r="B593" s="47"/>
      <c r="C593" s="34" t="str">
        <f t="shared" si="2"/>
        <v/>
      </c>
      <c r="D593" s="47"/>
      <c r="E593" s="52"/>
      <c r="F593" s="47"/>
      <c r="G593" s="36" t="e">
        <f ca="1">_xludf.IFNA(VLOOKUP(F593,'Category Setup'!B:D,3,0), "")</f>
        <v>#NAME?</v>
      </c>
      <c r="H593" s="47"/>
    </row>
    <row r="594" spans="2:8" ht="15.75" customHeight="1" x14ac:dyDescent="0.2">
      <c r="B594" s="38"/>
      <c r="C594" s="28" t="str">
        <f t="shared" si="2"/>
        <v/>
      </c>
      <c r="D594" s="38"/>
      <c r="E594" s="53"/>
      <c r="F594" s="38"/>
      <c r="G594" s="31" t="e">
        <f ca="1">_xludf.IFNA(VLOOKUP(F594,'Category Setup'!B:D,3,0), "")</f>
        <v>#NAME?</v>
      </c>
      <c r="H594" s="38"/>
    </row>
    <row r="595" spans="2:8" ht="15.75" customHeight="1" x14ac:dyDescent="0.2">
      <c r="B595" s="47"/>
      <c r="C595" s="34" t="str">
        <f t="shared" si="2"/>
        <v/>
      </c>
      <c r="D595" s="47"/>
      <c r="E595" s="52"/>
      <c r="F595" s="47"/>
      <c r="G595" s="36" t="e">
        <f ca="1">_xludf.IFNA(VLOOKUP(F595,'Category Setup'!B:D,3,0), "")</f>
        <v>#NAME?</v>
      </c>
      <c r="H595" s="47"/>
    </row>
    <row r="596" spans="2:8" ht="15.75" customHeight="1" x14ac:dyDescent="0.2">
      <c r="B596" s="38"/>
      <c r="C596" s="28" t="str">
        <f t="shared" si="2"/>
        <v/>
      </c>
      <c r="D596" s="38"/>
      <c r="E596" s="53"/>
      <c r="F596" s="38"/>
      <c r="G596" s="31" t="e">
        <f ca="1">_xludf.IFNA(VLOOKUP(F596,'Category Setup'!B:D,3,0), "")</f>
        <v>#NAME?</v>
      </c>
      <c r="H596" s="38"/>
    </row>
    <row r="597" spans="2:8" ht="15.75" customHeight="1" x14ac:dyDescent="0.2">
      <c r="B597" s="47"/>
      <c r="C597" s="34" t="str">
        <f t="shared" si="2"/>
        <v/>
      </c>
      <c r="D597" s="47"/>
      <c r="E597" s="52"/>
      <c r="F597" s="47"/>
      <c r="G597" s="36" t="e">
        <f ca="1">_xludf.IFNA(VLOOKUP(F597,'Category Setup'!B:D,3,0), "")</f>
        <v>#NAME?</v>
      </c>
      <c r="H597" s="47"/>
    </row>
    <row r="598" spans="2:8" ht="15.75" customHeight="1" x14ac:dyDescent="0.2">
      <c r="B598" s="38"/>
      <c r="C598" s="28" t="str">
        <f t="shared" si="2"/>
        <v/>
      </c>
      <c r="D598" s="38"/>
      <c r="E598" s="53"/>
      <c r="F598" s="38"/>
      <c r="G598" s="31" t="e">
        <f ca="1">_xludf.IFNA(VLOOKUP(F598,'Category Setup'!B:D,3,0), "")</f>
        <v>#NAME?</v>
      </c>
      <c r="H598" s="38"/>
    </row>
    <row r="599" spans="2:8" ht="15.75" customHeight="1" x14ac:dyDescent="0.2">
      <c r="B599" s="47"/>
      <c r="C599" s="34" t="str">
        <f t="shared" si="2"/>
        <v/>
      </c>
      <c r="D599" s="47"/>
      <c r="E599" s="52"/>
      <c r="F599" s="47"/>
      <c r="G599" s="36" t="e">
        <f ca="1">_xludf.IFNA(VLOOKUP(F599,'Category Setup'!B:D,3,0), "")</f>
        <v>#NAME?</v>
      </c>
      <c r="H599" s="47"/>
    </row>
    <row r="600" spans="2:8" ht="15.75" customHeight="1" x14ac:dyDescent="0.2">
      <c r="B600" s="38"/>
      <c r="C600" s="28" t="str">
        <f t="shared" si="2"/>
        <v/>
      </c>
      <c r="D600" s="38"/>
      <c r="E600" s="53"/>
      <c r="F600" s="38"/>
      <c r="G600" s="31" t="e">
        <f ca="1">_xludf.IFNA(VLOOKUP(F600,'Category Setup'!B:D,3,0), "")</f>
        <v>#NAME?</v>
      </c>
      <c r="H600" s="38"/>
    </row>
    <row r="601" spans="2:8" ht="15.75" customHeight="1" x14ac:dyDescent="0.2">
      <c r="B601" s="47"/>
      <c r="C601" s="34" t="str">
        <f t="shared" si="2"/>
        <v/>
      </c>
      <c r="D601" s="47"/>
      <c r="E601" s="52"/>
      <c r="F601" s="47"/>
      <c r="G601" s="36" t="e">
        <f ca="1">_xludf.IFNA(VLOOKUP(F601,'Category Setup'!B:D,3,0), "")</f>
        <v>#NAME?</v>
      </c>
      <c r="H601" s="47"/>
    </row>
    <row r="602" spans="2:8" ht="15.75" customHeight="1" x14ac:dyDescent="0.2">
      <c r="B602" s="38"/>
      <c r="C602" s="28" t="str">
        <f t="shared" si="2"/>
        <v/>
      </c>
      <c r="D602" s="38"/>
      <c r="E602" s="53"/>
      <c r="F602" s="38"/>
      <c r="G602" s="31" t="e">
        <f ca="1">_xludf.IFNA(VLOOKUP(F602,'Category Setup'!B:D,3,0), "")</f>
        <v>#NAME?</v>
      </c>
      <c r="H602" s="38"/>
    </row>
    <row r="603" spans="2:8" ht="15.75" customHeight="1" x14ac:dyDescent="0.2">
      <c r="B603" s="47"/>
      <c r="C603" s="34" t="str">
        <f t="shared" si="2"/>
        <v/>
      </c>
      <c r="D603" s="47"/>
      <c r="E603" s="52"/>
      <c r="F603" s="47"/>
      <c r="G603" s="36" t="e">
        <f ca="1">_xludf.IFNA(VLOOKUP(F603,'Category Setup'!B:D,3,0), "")</f>
        <v>#NAME?</v>
      </c>
      <c r="H603" s="47"/>
    </row>
    <row r="604" spans="2:8" ht="15.75" customHeight="1" x14ac:dyDescent="0.2">
      <c r="B604" s="38"/>
      <c r="C604" s="28" t="str">
        <f t="shared" si="2"/>
        <v/>
      </c>
      <c r="D604" s="38"/>
      <c r="E604" s="53"/>
      <c r="F604" s="38"/>
      <c r="G604" s="31" t="e">
        <f ca="1">_xludf.IFNA(VLOOKUP(F604,'Category Setup'!B:D,3,0), "")</f>
        <v>#NAME?</v>
      </c>
      <c r="H604" s="38"/>
    </row>
    <row r="605" spans="2:8" ht="15.75" customHeight="1" x14ac:dyDescent="0.2">
      <c r="B605" s="47"/>
      <c r="C605" s="34" t="str">
        <f t="shared" si="2"/>
        <v/>
      </c>
      <c r="D605" s="47"/>
      <c r="E605" s="52"/>
      <c r="F605" s="47"/>
      <c r="G605" s="36" t="e">
        <f ca="1">_xludf.IFNA(VLOOKUP(F605,'Category Setup'!B:D,3,0), "")</f>
        <v>#NAME?</v>
      </c>
      <c r="H605" s="47"/>
    </row>
    <row r="606" spans="2:8" ht="15.75" customHeight="1" x14ac:dyDescent="0.2">
      <c r="B606" s="38"/>
      <c r="C606" s="28" t="str">
        <f t="shared" si="2"/>
        <v/>
      </c>
      <c r="D606" s="38"/>
      <c r="E606" s="53"/>
      <c r="F606" s="38"/>
      <c r="G606" s="31" t="e">
        <f ca="1">_xludf.IFNA(VLOOKUP(F606,'Category Setup'!B:D,3,0), "")</f>
        <v>#NAME?</v>
      </c>
      <c r="H606" s="38"/>
    </row>
    <row r="607" spans="2:8" ht="15.75" customHeight="1" x14ac:dyDescent="0.2">
      <c r="B607" s="47"/>
      <c r="C607" s="34" t="str">
        <f t="shared" si="2"/>
        <v/>
      </c>
      <c r="D607" s="47"/>
      <c r="E607" s="52"/>
      <c r="F607" s="47"/>
      <c r="G607" s="36" t="e">
        <f ca="1">_xludf.IFNA(VLOOKUP(F607,'Category Setup'!B:D,3,0), "")</f>
        <v>#NAME?</v>
      </c>
      <c r="H607" s="47"/>
    </row>
    <row r="608" spans="2:8" ht="15.75" customHeight="1" x14ac:dyDescent="0.2">
      <c r="B608" s="38"/>
      <c r="C608" s="28" t="str">
        <f t="shared" si="2"/>
        <v/>
      </c>
      <c r="D608" s="38"/>
      <c r="E608" s="53"/>
      <c r="F608" s="38"/>
      <c r="G608" s="31" t="e">
        <f ca="1">_xludf.IFNA(VLOOKUP(F608,'Category Setup'!B:D,3,0), "")</f>
        <v>#NAME?</v>
      </c>
      <c r="H608" s="38"/>
    </row>
    <row r="609" spans="2:8" ht="15.75" customHeight="1" x14ac:dyDescent="0.2">
      <c r="B609" s="47"/>
      <c r="C609" s="34" t="str">
        <f t="shared" si="2"/>
        <v/>
      </c>
      <c r="D609" s="47"/>
      <c r="E609" s="52"/>
      <c r="F609" s="47"/>
      <c r="G609" s="36" t="e">
        <f ca="1">_xludf.IFNA(VLOOKUP(F609,'Category Setup'!B:D,3,0), "")</f>
        <v>#NAME?</v>
      </c>
      <c r="H609" s="47"/>
    </row>
    <row r="610" spans="2:8" ht="15.75" customHeight="1" x14ac:dyDescent="0.2">
      <c r="B610" s="38"/>
      <c r="C610" s="28" t="str">
        <f t="shared" si="2"/>
        <v/>
      </c>
      <c r="D610" s="38"/>
      <c r="E610" s="53"/>
      <c r="F610" s="38"/>
      <c r="G610" s="31" t="e">
        <f ca="1">_xludf.IFNA(VLOOKUP(F610,'Category Setup'!B:D,3,0), "")</f>
        <v>#NAME?</v>
      </c>
      <c r="H610" s="38"/>
    </row>
    <row r="611" spans="2:8" ht="15.75" customHeight="1" x14ac:dyDescent="0.2">
      <c r="B611" s="47"/>
      <c r="C611" s="34" t="str">
        <f t="shared" si="2"/>
        <v/>
      </c>
      <c r="D611" s="47"/>
      <c r="E611" s="52"/>
      <c r="F611" s="47"/>
      <c r="G611" s="36" t="e">
        <f ca="1">_xludf.IFNA(VLOOKUP(F611,'Category Setup'!B:D,3,0), "")</f>
        <v>#NAME?</v>
      </c>
      <c r="H611" s="47"/>
    </row>
    <row r="612" spans="2:8" ht="15.75" customHeight="1" x14ac:dyDescent="0.2">
      <c r="B612" s="38"/>
      <c r="C612" s="28" t="str">
        <f t="shared" si="2"/>
        <v/>
      </c>
      <c r="D612" s="38"/>
      <c r="E612" s="53"/>
      <c r="F612" s="38"/>
      <c r="G612" s="31" t="e">
        <f ca="1">_xludf.IFNA(VLOOKUP(F612,'Category Setup'!B:D,3,0), "")</f>
        <v>#NAME?</v>
      </c>
      <c r="H612" s="38"/>
    </row>
    <row r="613" spans="2:8" ht="15.75" customHeight="1" x14ac:dyDescent="0.2">
      <c r="B613" s="47"/>
      <c r="C613" s="34" t="str">
        <f t="shared" si="2"/>
        <v/>
      </c>
      <c r="D613" s="47"/>
      <c r="E613" s="52"/>
      <c r="F613" s="47"/>
      <c r="G613" s="36" t="e">
        <f ca="1">_xludf.IFNA(VLOOKUP(F613,'Category Setup'!B:D,3,0), "")</f>
        <v>#NAME?</v>
      </c>
      <c r="H613" s="47"/>
    </row>
    <row r="614" spans="2:8" ht="15.75" customHeight="1" x14ac:dyDescent="0.2">
      <c r="B614" s="38"/>
      <c r="C614" s="28" t="str">
        <f t="shared" si="2"/>
        <v/>
      </c>
      <c r="D614" s="38"/>
      <c r="E614" s="53"/>
      <c r="F614" s="38"/>
      <c r="G614" s="31" t="e">
        <f ca="1">_xludf.IFNA(VLOOKUP(F614,'Category Setup'!B:D,3,0), "")</f>
        <v>#NAME?</v>
      </c>
      <c r="H614" s="38"/>
    </row>
    <row r="615" spans="2:8" ht="15.75" customHeight="1" x14ac:dyDescent="0.2">
      <c r="B615" s="47"/>
      <c r="C615" s="34" t="str">
        <f t="shared" si="2"/>
        <v/>
      </c>
      <c r="D615" s="47"/>
      <c r="E615" s="52"/>
      <c r="F615" s="47"/>
      <c r="G615" s="36" t="e">
        <f ca="1">_xludf.IFNA(VLOOKUP(F615,'Category Setup'!B:D,3,0), "")</f>
        <v>#NAME?</v>
      </c>
      <c r="H615" s="47"/>
    </row>
    <row r="616" spans="2:8" ht="15.75" customHeight="1" x14ac:dyDescent="0.2">
      <c r="B616" s="38"/>
      <c r="C616" s="28" t="str">
        <f t="shared" si="2"/>
        <v/>
      </c>
      <c r="D616" s="38"/>
      <c r="E616" s="53"/>
      <c r="F616" s="38"/>
      <c r="G616" s="31" t="e">
        <f ca="1">_xludf.IFNA(VLOOKUP(F616,'Category Setup'!B:D,3,0), "")</f>
        <v>#NAME?</v>
      </c>
      <c r="H616" s="38"/>
    </row>
    <row r="617" spans="2:8" ht="15.75" customHeight="1" x14ac:dyDescent="0.2">
      <c r="B617" s="47"/>
      <c r="C617" s="34" t="str">
        <f t="shared" si="2"/>
        <v/>
      </c>
      <c r="D617" s="47"/>
      <c r="E617" s="52"/>
      <c r="F617" s="47"/>
      <c r="G617" s="36" t="e">
        <f ca="1">_xludf.IFNA(VLOOKUP(F617,'Category Setup'!B:D,3,0), "")</f>
        <v>#NAME?</v>
      </c>
      <c r="H617" s="47"/>
    </row>
    <row r="618" spans="2:8" ht="15.75" customHeight="1" x14ac:dyDescent="0.2">
      <c r="B618" s="38"/>
      <c r="C618" s="28" t="str">
        <f t="shared" si="2"/>
        <v/>
      </c>
      <c r="D618" s="38"/>
      <c r="E618" s="53"/>
      <c r="F618" s="38"/>
      <c r="G618" s="31" t="e">
        <f ca="1">_xludf.IFNA(VLOOKUP(F618,'Category Setup'!B:D,3,0), "")</f>
        <v>#NAME?</v>
      </c>
      <c r="H618" s="38"/>
    </row>
    <row r="619" spans="2:8" ht="15.75" customHeight="1" x14ac:dyDescent="0.2">
      <c r="B619" s="47"/>
      <c r="C619" s="34" t="str">
        <f t="shared" si="2"/>
        <v/>
      </c>
      <c r="D619" s="47"/>
      <c r="E619" s="52"/>
      <c r="F619" s="47"/>
      <c r="G619" s="36" t="e">
        <f ca="1">_xludf.IFNA(VLOOKUP(F619,'Category Setup'!B:D,3,0), "")</f>
        <v>#NAME?</v>
      </c>
      <c r="H619" s="47"/>
    </row>
    <row r="620" spans="2:8" ht="15.75" customHeight="1" x14ac:dyDescent="0.2">
      <c r="B620" s="38"/>
      <c r="C620" s="28" t="str">
        <f t="shared" si="2"/>
        <v/>
      </c>
      <c r="D620" s="38"/>
      <c r="E620" s="53"/>
      <c r="F620" s="38"/>
      <c r="G620" s="31" t="e">
        <f ca="1">_xludf.IFNA(VLOOKUP(F620,'Category Setup'!B:D,3,0), "")</f>
        <v>#NAME?</v>
      </c>
      <c r="H620" s="38"/>
    </row>
    <row r="621" spans="2:8" ht="15.75" customHeight="1" x14ac:dyDescent="0.2">
      <c r="B621" s="47"/>
      <c r="C621" s="34" t="str">
        <f t="shared" si="2"/>
        <v/>
      </c>
      <c r="D621" s="47"/>
      <c r="E621" s="52"/>
      <c r="F621" s="47"/>
      <c r="G621" s="36" t="e">
        <f ca="1">_xludf.IFNA(VLOOKUP(F621,'Category Setup'!B:D,3,0), "")</f>
        <v>#NAME?</v>
      </c>
      <c r="H621" s="47"/>
    </row>
    <row r="622" spans="2:8" ht="15.75" customHeight="1" x14ac:dyDescent="0.2">
      <c r="B622" s="38"/>
      <c r="C622" s="28" t="str">
        <f t="shared" si="2"/>
        <v/>
      </c>
      <c r="D622" s="38"/>
      <c r="E622" s="53"/>
      <c r="F622" s="38"/>
      <c r="G622" s="31" t="e">
        <f ca="1">_xludf.IFNA(VLOOKUP(F622,'Category Setup'!B:D,3,0), "")</f>
        <v>#NAME?</v>
      </c>
      <c r="H622" s="38"/>
    </row>
    <row r="623" spans="2:8" ht="15.75" customHeight="1" x14ac:dyDescent="0.2">
      <c r="B623" s="47"/>
      <c r="C623" s="34" t="str">
        <f t="shared" si="2"/>
        <v/>
      </c>
      <c r="D623" s="47"/>
      <c r="E623" s="52"/>
      <c r="F623" s="47"/>
      <c r="G623" s="36" t="e">
        <f ca="1">_xludf.IFNA(VLOOKUP(F623,'Category Setup'!B:D,3,0), "")</f>
        <v>#NAME?</v>
      </c>
      <c r="H623" s="47"/>
    </row>
    <row r="624" spans="2:8" ht="15.75" customHeight="1" x14ac:dyDescent="0.2">
      <c r="B624" s="38"/>
      <c r="C624" s="28" t="str">
        <f t="shared" si="2"/>
        <v/>
      </c>
      <c r="D624" s="38"/>
      <c r="E624" s="53"/>
      <c r="F624" s="38"/>
      <c r="G624" s="31" t="e">
        <f ca="1">_xludf.IFNA(VLOOKUP(F624,'Category Setup'!B:D,3,0), "")</f>
        <v>#NAME?</v>
      </c>
      <c r="H624" s="38"/>
    </row>
    <row r="625" spans="2:8" ht="15.75" customHeight="1" x14ac:dyDescent="0.2">
      <c r="B625" s="47"/>
      <c r="C625" s="34" t="str">
        <f t="shared" si="2"/>
        <v/>
      </c>
      <c r="D625" s="47"/>
      <c r="E625" s="52"/>
      <c r="F625" s="47"/>
      <c r="G625" s="36" t="e">
        <f ca="1">_xludf.IFNA(VLOOKUP(F625,'Category Setup'!B:D,3,0), "")</f>
        <v>#NAME?</v>
      </c>
      <c r="H625" s="47"/>
    </row>
    <row r="626" spans="2:8" ht="15.75" customHeight="1" x14ac:dyDescent="0.2">
      <c r="B626" s="38"/>
      <c r="C626" s="28" t="str">
        <f t="shared" si="2"/>
        <v/>
      </c>
      <c r="D626" s="38"/>
      <c r="E626" s="53"/>
      <c r="F626" s="38"/>
      <c r="G626" s="31" t="e">
        <f ca="1">_xludf.IFNA(VLOOKUP(F626,'Category Setup'!B:D,3,0), "")</f>
        <v>#NAME?</v>
      </c>
      <c r="H626" s="38"/>
    </row>
    <row r="627" spans="2:8" ht="15.75" customHeight="1" x14ac:dyDescent="0.2">
      <c r="B627" s="47"/>
      <c r="C627" s="34" t="str">
        <f t="shared" si="2"/>
        <v/>
      </c>
      <c r="D627" s="47"/>
      <c r="E627" s="52"/>
      <c r="F627" s="47"/>
      <c r="G627" s="36" t="e">
        <f ca="1">_xludf.IFNA(VLOOKUP(F627,'Category Setup'!B:D,3,0), "")</f>
        <v>#NAME?</v>
      </c>
      <c r="H627" s="47"/>
    </row>
    <row r="628" spans="2:8" ht="15.75" customHeight="1" x14ac:dyDescent="0.2">
      <c r="B628" s="38"/>
      <c r="C628" s="28" t="str">
        <f t="shared" si="2"/>
        <v/>
      </c>
      <c r="D628" s="38"/>
      <c r="E628" s="53"/>
      <c r="F628" s="38"/>
      <c r="G628" s="31" t="e">
        <f ca="1">_xludf.IFNA(VLOOKUP(F628,'Category Setup'!B:D,3,0), "")</f>
        <v>#NAME?</v>
      </c>
      <c r="H628" s="38"/>
    </row>
    <row r="629" spans="2:8" ht="15.75" customHeight="1" x14ac:dyDescent="0.2">
      <c r="B629" s="47"/>
      <c r="C629" s="34" t="str">
        <f t="shared" si="2"/>
        <v/>
      </c>
      <c r="D629" s="47"/>
      <c r="E629" s="52"/>
      <c r="F629" s="47"/>
      <c r="G629" s="36" t="e">
        <f ca="1">_xludf.IFNA(VLOOKUP(F629,'Category Setup'!B:D,3,0), "")</f>
        <v>#NAME?</v>
      </c>
      <c r="H629" s="47"/>
    </row>
    <row r="630" spans="2:8" ht="15.75" customHeight="1" x14ac:dyDescent="0.2">
      <c r="B630" s="38"/>
      <c r="C630" s="28" t="str">
        <f t="shared" si="2"/>
        <v/>
      </c>
      <c r="D630" s="38"/>
      <c r="E630" s="53"/>
      <c r="F630" s="38"/>
      <c r="G630" s="31" t="e">
        <f ca="1">_xludf.IFNA(VLOOKUP(F630,'Category Setup'!B:D,3,0), "")</f>
        <v>#NAME?</v>
      </c>
      <c r="H630" s="38"/>
    </row>
    <row r="631" spans="2:8" ht="15.75" customHeight="1" x14ac:dyDescent="0.2">
      <c r="B631" s="47"/>
      <c r="C631" s="34" t="str">
        <f t="shared" si="2"/>
        <v/>
      </c>
      <c r="D631" s="47"/>
      <c r="E631" s="52"/>
      <c r="F631" s="47"/>
      <c r="G631" s="36" t="e">
        <f ca="1">_xludf.IFNA(VLOOKUP(F631,'Category Setup'!B:D,3,0), "")</f>
        <v>#NAME?</v>
      </c>
      <c r="H631" s="47"/>
    </row>
    <row r="632" spans="2:8" ht="15.75" customHeight="1" x14ac:dyDescent="0.2">
      <c r="B632" s="38"/>
      <c r="C632" s="28" t="str">
        <f t="shared" si="2"/>
        <v/>
      </c>
      <c r="D632" s="38"/>
      <c r="E632" s="53"/>
      <c r="F632" s="38"/>
      <c r="G632" s="31" t="e">
        <f ca="1">_xludf.IFNA(VLOOKUP(F632,'Category Setup'!B:D,3,0), "")</f>
        <v>#NAME?</v>
      </c>
      <c r="H632" s="38"/>
    </row>
    <row r="633" spans="2:8" ht="15.75" customHeight="1" x14ac:dyDescent="0.2">
      <c r="B633" s="47"/>
      <c r="C633" s="34" t="str">
        <f t="shared" si="2"/>
        <v/>
      </c>
      <c r="D633" s="47"/>
      <c r="E633" s="52"/>
      <c r="F633" s="47"/>
      <c r="G633" s="36" t="e">
        <f ca="1">_xludf.IFNA(VLOOKUP(F633,'Category Setup'!B:D,3,0), "")</f>
        <v>#NAME?</v>
      </c>
      <c r="H633" s="47"/>
    </row>
    <row r="634" spans="2:8" ht="15.75" customHeight="1" x14ac:dyDescent="0.2">
      <c r="B634" s="38"/>
      <c r="C634" s="28" t="str">
        <f t="shared" si="2"/>
        <v/>
      </c>
      <c r="D634" s="38"/>
      <c r="E634" s="53"/>
      <c r="F634" s="38"/>
      <c r="G634" s="31" t="e">
        <f ca="1">_xludf.IFNA(VLOOKUP(F634,'Category Setup'!B:D,3,0), "")</f>
        <v>#NAME?</v>
      </c>
      <c r="H634" s="38"/>
    </row>
    <row r="635" spans="2:8" ht="15.75" customHeight="1" x14ac:dyDescent="0.2">
      <c r="B635" s="47"/>
      <c r="C635" s="34" t="str">
        <f t="shared" si="2"/>
        <v/>
      </c>
      <c r="D635" s="47"/>
      <c r="E635" s="52"/>
      <c r="F635" s="47"/>
      <c r="G635" s="36" t="e">
        <f ca="1">_xludf.IFNA(VLOOKUP(F635,'Category Setup'!B:D,3,0), "")</f>
        <v>#NAME?</v>
      </c>
      <c r="H635" s="47"/>
    </row>
    <row r="636" spans="2:8" ht="15.75" customHeight="1" x14ac:dyDescent="0.2">
      <c r="B636" s="38"/>
      <c r="C636" s="28" t="str">
        <f t="shared" si="2"/>
        <v/>
      </c>
      <c r="D636" s="38"/>
      <c r="E636" s="53"/>
      <c r="F636" s="38"/>
      <c r="G636" s="31" t="e">
        <f ca="1">_xludf.IFNA(VLOOKUP(F636,'Category Setup'!B:D,3,0), "")</f>
        <v>#NAME?</v>
      </c>
      <c r="H636" s="38"/>
    </row>
    <row r="637" spans="2:8" ht="15.75" customHeight="1" x14ac:dyDescent="0.2">
      <c r="B637" s="47"/>
      <c r="C637" s="34" t="str">
        <f t="shared" si="2"/>
        <v/>
      </c>
      <c r="D637" s="47"/>
      <c r="E637" s="52"/>
      <c r="F637" s="47"/>
      <c r="G637" s="36" t="e">
        <f ca="1">_xludf.IFNA(VLOOKUP(F637,'Category Setup'!B:D,3,0), "")</f>
        <v>#NAME?</v>
      </c>
      <c r="H637" s="47"/>
    </row>
    <row r="638" spans="2:8" ht="15.75" customHeight="1" x14ac:dyDescent="0.2">
      <c r="B638" s="38"/>
      <c r="C638" s="28" t="str">
        <f t="shared" si="2"/>
        <v/>
      </c>
      <c r="D638" s="38"/>
      <c r="E638" s="53"/>
      <c r="F638" s="38"/>
      <c r="G638" s="31" t="e">
        <f ca="1">_xludf.IFNA(VLOOKUP(F638,'Category Setup'!B:D,3,0), "")</f>
        <v>#NAME?</v>
      </c>
      <c r="H638" s="38"/>
    </row>
    <row r="639" spans="2:8" ht="15.75" customHeight="1" x14ac:dyDescent="0.2">
      <c r="B639" s="47"/>
      <c r="C639" s="34" t="str">
        <f t="shared" si="2"/>
        <v/>
      </c>
      <c r="D639" s="47"/>
      <c r="E639" s="52"/>
      <c r="F639" s="47"/>
      <c r="G639" s="36" t="e">
        <f ca="1">_xludf.IFNA(VLOOKUP(F639,'Category Setup'!B:D,3,0), "")</f>
        <v>#NAME?</v>
      </c>
      <c r="H639" s="47"/>
    </row>
    <row r="640" spans="2:8" ht="15.75" customHeight="1" x14ac:dyDescent="0.2">
      <c r="B640" s="38"/>
      <c r="C640" s="28" t="str">
        <f t="shared" si="2"/>
        <v/>
      </c>
      <c r="D640" s="38"/>
      <c r="E640" s="53"/>
      <c r="F640" s="38"/>
      <c r="G640" s="31" t="e">
        <f ca="1">_xludf.IFNA(VLOOKUP(F640,'Category Setup'!B:D,3,0), "")</f>
        <v>#NAME?</v>
      </c>
      <c r="H640" s="38"/>
    </row>
    <row r="641" spans="2:8" ht="15.75" customHeight="1" x14ac:dyDescent="0.2">
      <c r="B641" s="47"/>
      <c r="C641" s="34" t="str">
        <f t="shared" si="2"/>
        <v/>
      </c>
      <c r="D641" s="47"/>
      <c r="E641" s="52"/>
      <c r="F641" s="47"/>
      <c r="G641" s="36" t="e">
        <f ca="1">_xludf.IFNA(VLOOKUP(F641,'Category Setup'!B:D,3,0), "")</f>
        <v>#NAME?</v>
      </c>
      <c r="H641" s="47"/>
    </row>
    <row r="642" spans="2:8" ht="15.75" customHeight="1" x14ac:dyDescent="0.2">
      <c r="B642" s="38"/>
      <c r="C642" s="28" t="str">
        <f t="shared" si="2"/>
        <v/>
      </c>
      <c r="D642" s="38"/>
      <c r="E642" s="53"/>
      <c r="F642" s="38"/>
      <c r="G642" s="31" t="e">
        <f ca="1">_xludf.IFNA(VLOOKUP(F642,'Category Setup'!B:D,3,0), "")</f>
        <v>#NAME?</v>
      </c>
      <c r="H642" s="38"/>
    </row>
    <row r="643" spans="2:8" ht="15.75" customHeight="1" x14ac:dyDescent="0.2">
      <c r="B643" s="47"/>
      <c r="C643" s="34" t="str">
        <f t="shared" si="2"/>
        <v/>
      </c>
      <c r="D643" s="47"/>
      <c r="E643" s="52"/>
      <c r="F643" s="47"/>
      <c r="G643" s="36" t="e">
        <f ca="1">_xludf.IFNA(VLOOKUP(F643,'Category Setup'!B:D,3,0), "")</f>
        <v>#NAME?</v>
      </c>
      <c r="H643" s="47"/>
    </row>
    <row r="644" spans="2:8" ht="15.75" customHeight="1" x14ac:dyDescent="0.2">
      <c r="B644" s="38"/>
      <c r="C644" s="28" t="str">
        <f t="shared" si="2"/>
        <v/>
      </c>
      <c r="D644" s="38"/>
      <c r="E644" s="53"/>
      <c r="F644" s="38"/>
      <c r="G644" s="31" t="e">
        <f ca="1">_xludf.IFNA(VLOOKUP(F644,'Category Setup'!B:D,3,0), "")</f>
        <v>#NAME?</v>
      </c>
      <c r="H644" s="38"/>
    </row>
    <row r="645" spans="2:8" ht="15.75" customHeight="1" x14ac:dyDescent="0.2">
      <c r="B645" s="47"/>
      <c r="C645" s="34" t="str">
        <f t="shared" si="2"/>
        <v/>
      </c>
      <c r="D645" s="47"/>
      <c r="E645" s="52"/>
      <c r="F645" s="47"/>
      <c r="G645" s="36" t="e">
        <f ca="1">_xludf.IFNA(VLOOKUP(F645,'Category Setup'!B:D,3,0), "")</f>
        <v>#NAME?</v>
      </c>
      <c r="H645" s="47"/>
    </row>
    <row r="646" spans="2:8" ht="15.75" customHeight="1" x14ac:dyDescent="0.2">
      <c r="B646" s="38"/>
      <c r="C646" s="28" t="str">
        <f t="shared" si="2"/>
        <v/>
      </c>
      <c r="D646" s="38"/>
      <c r="E646" s="53"/>
      <c r="F646" s="38"/>
      <c r="G646" s="31" t="e">
        <f ca="1">_xludf.IFNA(VLOOKUP(F646,'Category Setup'!B:D,3,0), "")</f>
        <v>#NAME?</v>
      </c>
      <c r="H646" s="38"/>
    </row>
    <row r="647" spans="2:8" ht="15.75" customHeight="1" x14ac:dyDescent="0.2">
      <c r="B647" s="47"/>
      <c r="C647" s="34" t="str">
        <f t="shared" si="2"/>
        <v/>
      </c>
      <c r="D647" s="47"/>
      <c r="E647" s="52"/>
      <c r="F647" s="47"/>
      <c r="G647" s="36" t="e">
        <f ca="1">_xludf.IFNA(VLOOKUP(F647,'Category Setup'!B:D,3,0), "")</f>
        <v>#NAME?</v>
      </c>
      <c r="H647" s="47"/>
    </row>
    <row r="648" spans="2:8" ht="15.75" customHeight="1" x14ac:dyDescent="0.2">
      <c r="B648" s="38"/>
      <c r="C648" s="28" t="str">
        <f t="shared" si="2"/>
        <v/>
      </c>
      <c r="D648" s="38"/>
      <c r="E648" s="53"/>
      <c r="F648" s="38"/>
      <c r="G648" s="31" t="e">
        <f ca="1">_xludf.IFNA(VLOOKUP(F648,'Category Setup'!B:D,3,0), "")</f>
        <v>#NAME?</v>
      </c>
      <c r="H648" s="38"/>
    </row>
    <row r="649" spans="2:8" ht="15.75" customHeight="1" x14ac:dyDescent="0.2">
      <c r="B649" s="47"/>
      <c r="C649" s="34" t="str">
        <f t="shared" si="2"/>
        <v/>
      </c>
      <c r="D649" s="47"/>
      <c r="E649" s="52"/>
      <c r="F649" s="47"/>
      <c r="G649" s="36" t="e">
        <f ca="1">_xludf.IFNA(VLOOKUP(F649,'Category Setup'!B:D,3,0), "")</f>
        <v>#NAME?</v>
      </c>
      <c r="H649" s="47"/>
    </row>
    <row r="650" spans="2:8" ht="15.75" customHeight="1" x14ac:dyDescent="0.2">
      <c r="B650" s="38"/>
      <c r="C650" s="28" t="str">
        <f t="shared" si="2"/>
        <v/>
      </c>
      <c r="D650" s="38"/>
      <c r="E650" s="53"/>
      <c r="F650" s="38"/>
      <c r="G650" s="31" t="e">
        <f ca="1">_xludf.IFNA(VLOOKUP(F650,'Category Setup'!B:D,3,0), "")</f>
        <v>#NAME?</v>
      </c>
      <c r="H650" s="38"/>
    </row>
    <row r="651" spans="2:8" ht="15.75" customHeight="1" x14ac:dyDescent="0.2">
      <c r="B651" s="47"/>
      <c r="C651" s="34" t="str">
        <f t="shared" si="2"/>
        <v/>
      </c>
      <c r="D651" s="47"/>
      <c r="E651" s="52"/>
      <c r="F651" s="47"/>
      <c r="G651" s="36" t="e">
        <f ca="1">_xludf.IFNA(VLOOKUP(F651,'Category Setup'!B:D,3,0), "")</f>
        <v>#NAME?</v>
      </c>
      <c r="H651" s="47"/>
    </row>
    <row r="652" spans="2:8" ht="15.75" customHeight="1" x14ac:dyDescent="0.2">
      <c r="B652" s="38"/>
      <c r="C652" s="28" t="str">
        <f t="shared" si="2"/>
        <v/>
      </c>
      <c r="D652" s="38"/>
      <c r="E652" s="53"/>
      <c r="F652" s="38"/>
      <c r="G652" s="31" t="e">
        <f ca="1">_xludf.IFNA(VLOOKUP(F652,'Category Setup'!B:D,3,0), "")</f>
        <v>#NAME?</v>
      </c>
      <c r="H652" s="38"/>
    </row>
    <row r="653" spans="2:8" ht="15.75" customHeight="1" x14ac:dyDescent="0.2">
      <c r="B653" s="47"/>
      <c r="C653" s="34" t="str">
        <f t="shared" si="2"/>
        <v/>
      </c>
      <c r="D653" s="47"/>
      <c r="E653" s="52"/>
      <c r="F653" s="47"/>
      <c r="G653" s="36" t="e">
        <f ca="1">_xludf.IFNA(VLOOKUP(F653,'Category Setup'!B:D,3,0), "")</f>
        <v>#NAME?</v>
      </c>
      <c r="H653" s="47"/>
    </row>
    <row r="654" spans="2:8" ht="15.75" customHeight="1" x14ac:dyDescent="0.2">
      <c r="B654" s="38"/>
      <c r="C654" s="28" t="str">
        <f t="shared" si="2"/>
        <v/>
      </c>
      <c r="D654" s="38"/>
      <c r="E654" s="53"/>
      <c r="F654" s="38"/>
      <c r="G654" s="31" t="e">
        <f ca="1">_xludf.IFNA(VLOOKUP(F654,'Category Setup'!B:D,3,0), "")</f>
        <v>#NAME?</v>
      </c>
      <c r="H654" s="38"/>
    </row>
    <row r="655" spans="2:8" ht="15.75" customHeight="1" x14ac:dyDescent="0.2">
      <c r="B655" s="47"/>
      <c r="C655" s="34" t="str">
        <f t="shared" si="2"/>
        <v/>
      </c>
      <c r="D655" s="47"/>
      <c r="E655" s="52"/>
      <c r="F655" s="47"/>
      <c r="G655" s="36" t="e">
        <f ca="1">_xludf.IFNA(VLOOKUP(F655,'Category Setup'!B:D,3,0), "")</f>
        <v>#NAME?</v>
      </c>
      <c r="H655" s="47"/>
    </row>
    <row r="656" spans="2:8" ht="15.75" customHeight="1" x14ac:dyDescent="0.2">
      <c r="B656" s="38"/>
      <c r="C656" s="28" t="str">
        <f t="shared" si="2"/>
        <v/>
      </c>
      <c r="D656" s="38"/>
      <c r="E656" s="53"/>
      <c r="F656" s="38"/>
      <c r="G656" s="31" t="e">
        <f ca="1">_xludf.IFNA(VLOOKUP(F656,'Category Setup'!B:D,3,0), "")</f>
        <v>#NAME?</v>
      </c>
      <c r="H656" s="38"/>
    </row>
    <row r="657" spans="2:8" ht="15.75" customHeight="1" x14ac:dyDescent="0.2">
      <c r="B657" s="47"/>
      <c r="C657" s="34" t="str">
        <f t="shared" si="2"/>
        <v/>
      </c>
      <c r="D657" s="47"/>
      <c r="E657" s="52"/>
      <c r="F657" s="47"/>
      <c r="G657" s="36" t="e">
        <f ca="1">_xludf.IFNA(VLOOKUP(F657,'Category Setup'!B:D,3,0), "")</f>
        <v>#NAME?</v>
      </c>
      <c r="H657" s="47"/>
    </row>
    <row r="658" spans="2:8" ht="15.75" customHeight="1" x14ac:dyDescent="0.2">
      <c r="B658" s="38"/>
      <c r="C658" s="28" t="str">
        <f t="shared" si="2"/>
        <v/>
      </c>
      <c r="D658" s="38"/>
      <c r="E658" s="53"/>
      <c r="F658" s="38"/>
      <c r="G658" s="31" t="e">
        <f ca="1">_xludf.IFNA(VLOOKUP(F658,'Category Setup'!B:D,3,0), "")</f>
        <v>#NAME?</v>
      </c>
      <c r="H658" s="38"/>
    </row>
    <row r="659" spans="2:8" ht="15.75" customHeight="1" x14ac:dyDescent="0.2">
      <c r="B659" s="47"/>
      <c r="C659" s="34" t="str">
        <f t="shared" si="2"/>
        <v/>
      </c>
      <c r="D659" s="47"/>
      <c r="E659" s="52"/>
      <c r="F659" s="47"/>
      <c r="G659" s="36" t="e">
        <f ca="1">_xludf.IFNA(VLOOKUP(F659,'Category Setup'!B:D,3,0), "")</f>
        <v>#NAME?</v>
      </c>
      <c r="H659" s="47"/>
    </row>
    <row r="660" spans="2:8" ht="15.75" customHeight="1" x14ac:dyDescent="0.2">
      <c r="B660" s="38"/>
      <c r="C660" s="28" t="str">
        <f t="shared" si="2"/>
        <v/>
      </c>
      <c r="D660" s="38"/>
      <c r="E660" s="53"/>
      <c r="F660" s="38"/>
      <c r="G660" s="31" t="e">
        <f ca="1">_xludf.IFNA(VLOOKUP(F660,'Category Setup'!B:D,3,0), "")</f>
        <v>#NAME?</v>
      </c>
      <c r="H660" s="38"/>
    </row>
    <row r="661" spans="2:8" ht="15.75" customHeight="1" x14ac:dyDescent="0.2">
      <c r="B661" s="47"/>
      <c r="C661" s="34" t="str">
        <f t="shared" si="2"/>
        <v/>
      </c>
      <c r="D661" s="47"/>
      <c r="E661" s="52"/>
      <c r="F661" s="47"/>
      <c r="G661" s="36" t="e">
        <f ca="1">_xludf.IFNA(VLOOKUP(F661,'Category Setup'!B:D,3,0), "")</f>
        <v>#NAME?</v>
      </c>
      <c r="H661" s="47"/>
    </row>
    <row r="662" spans="2:8" ht="15.75" customHeight="1" x14ac:dyDescent="0.2">
      <c r="B662" s="38"/>
      <c r="C662" s="28" t="str">
        <f t="shared" si="2"/>
        <v/>
      </c>
      <c r="D662" s="38"/>
      <c r="E662" s="53"/>
      <c r="F662" s="38"/>
      <c r="G662" s="31" t="e">
        <f ca="1">_xludf.IFNA(VLOOKUP(F662,'Category Setup'!B:D,3,0), "")</f>
        <v>#NAME?</v>
      </c>
      <c r="H662" s="38"/>
    </row>
    <row r="663" spans="2:8" ht="15.75" customHeight="1" x14ac:dyDescent="0.2">
      <c r="B663" s="47"/>
      <c r="C663" s="34" t="str">
        <f t="shared" si="2"/>
        <v/>
      </c>
      <c r="D663" s="47"/>
      <c r="E663" s="52"/>
      <c r="F663" s="47"/>
      <c r="G663" s="36" t="e">
        <f ca="1">_xludf.IFNA(VLOOKUP(F663,'Category Setup'!B:D,3,0), "")</f>
        <v>#NAME?</v>
      </c>
      <c r="H663" s="47"/>
    </row>
    <row r="664" spans="2:8" ht="15.75" customHeight="1" x14ac:dyDescent="0.2">
      <c r="B664" s="38"/>
      <c r="C664" s="28" t="str">
        <f t="shared" si="2"/>
        <v/>
      </c>
      <c r="D664" s="38"/>
      <c r="E664" s="53"/>
      <c r="F664" s="38"/>
      <c r="G664" s="31" t="e">
        <f ca="1">_xludf.IFNA(VLOOKUP(F664,'Category Setup'!B:D,3,0), "")</f>
        <v>#NAME?</v>
      </c>
      <c r="H664" s="38"/>
    </row>
    <row r="665" spans="2:8" ht="15.75" customHeight="1" x14ac:dyDescent="0.2">
      <c r="B665" s="47"/>
      <c r="C665" s="34" t="str">
        <f t="shared" si="2"/>
        <v/>
      </c>
      <c r="D665" s="47"/>
      <c r="E665" s="52"/>
      <c r="F665" s="47"/>
      <c r="G665" s="36" t="e">
        <f ca="1">_xludf.IFNA(VLOOKUP(F665,'Category Setup'!B:D,3,0), "")</f>
        <v>#NAME?</v>
      </c>
      <c r="H665" s="47"/>
    </row>
    <row r="666" spans="2:8" ht="15.75" customHeight="1" x14ac:dyDescent="0.2">
      <c r="B666" s="38"/>
      <c r="C666" s="28" t="str">
        <f t="shared" si="2"/>
        <v/>
      </c>
      <c r="D666" s="38"/>
      <c r="E666" s="53"/>
      <c r="F666" s="38"/>
      <c r="G666" s="31" t="e">
        <f ca="1">_xludf.IFNA(VLOOKUP(F666,'Category Setup'!B:D,3,0), "")</f>
        <v>#NAME?</v>
      </c>
      <c r="H666" s="38"/>
    </row>
    <row r="667" spans="2:8" ht="15.75" customHeight="1" x14ac:dyDescent="0.2">
      <c r="B667" s="47"/>
      <c r="C667" s="34" t="str">
        <f t="shared" si="2"/>
        <v/>
      </c>
      <c r="D667" s="47"/>
      <c r="E667" s="52"/>
      <c r="F667" s="47"/>
      <c r="G667" s="36" t="e">
        <f ca="1">_xludf.IFNA(VLOOKUP(F667,'Category Setup'!B:D,3,0), "")</f>
        <v>#NAME?</v>
      </c>
      <c r="H667" s="47"/>
    </row>
    <row r="668" spans="2:8" ht="15.75" customHeight="1" x14ac:dyDescent="0.2">
      <c r="B668" s="38"/>
      <c r="C668" s="28" t="str">
        <f t="shared" si="2"/>
        <v/>
      </c>
      <c r="D668" s="38"/>
      <c r="E668" s="53"/>
      <c r="F668" s="38"/>
      <c r="G668" s="31" t="e">
        <f ca="1">_xludf.IFNA(VLOOKUP(F668,'Category Setup'!B:D,3,0), "")</f>
        <v>#NAME?</v>
      </c>
      <c r="H668" s="38"/>
    </row>
    <row r="669" spans="2:8" ht="15.75" customHeight="1" x14ac:dyDescent="0.2">
      <c r="B669" s="47"/>
      <c r="C669" s="34" t="str">
        <f t="shared" si="2"/>
        <v/>
      </c>
      <c r="D669" s="47"/>
      <c r="E669" s="52"/>
      <c r="F669" s="47"/>
      <c r="G669" s="36" t="e">
        <f ca="1">_xludf.IFNA(VLOOKUP(F669,'Category Setup'!B:D,3,0), "")</f>
        <v>#NAME?</v>
      </c>
      <c r="H669" s="47"/>
    </row>
    <row r="670" spans="2:8" ht="15.75" customHeight="1" x14ac:dyDescent="0.2">
      <c r="B670" s="38"/>
      <c r="C670" s="28" t="str">
        <f t="shared" si="2"/>
        <v/>
      </c>
      <c r="D670" s="38"/>
      <c r="E670" s="53"/>
      <c r="F670" s="38"/>
      <c r="G670" s="31" t="e">
        <f ca="1">_xludf.IFNA(VLOOKUP(F670,'Category Setup'!B:D,3,0), "")</f>
        <v>#NAME?</v>
      </c>
      <c r="H670" s="38"/>
    </row>
    <row r="671" spans="2:8" ht="15.75" customHeight="1" x14ac:dyDescent="0.2">
      <c r="B671" s="47"/>
      <c r="C671" s="34" t="str">
        <f t="shared" si="2"/>
        <v/>
      </c>
      <c r="D671" s="47"/>
      <c r="E671" s="52"/>
      <c r="F671" s="47"/>
      <c r="G671" s="36" t="e">
        <f ca="1">_xludf.IFNA(VLOOKUP(F671,'Category Setup'!B:D,3,0), "")</f>
        <v>#NAME?</v>
      </c>
      <c r="H671" s="47"/>
    </row>
    <row r="672" spans="2:8" ht="15.75" customHeight="1" x14ac:dyDescent="0.2">
      <c r="B672" s="38"/>
      <c r="C672" s="28" t="str">
        <f t="shared" si="2"/>
        <v/>
      </c>
      <c r="D672" s="38"/>
      <c r="E672" s="53"/>
      <c r="F672" s="38"/>
      <c r="G672" s="31" t="e">
        <f ca="1">_xludf.IFNA(VLOOKUP(F672,'Category Setup'!B:D,3,0), "")</f>
        <v>#NAME?</v>
      </c>
      <c r="H672" s="38"/>
    </row>
    <row r="673" spans="2:8" ht="15.75" customHeight="1" x14ac:dyDescent="0.2">
      <c r="B673" s="47"/>
      <c r="C673" s="34" t="str">
        <f t="shared" si="2"/>
        <v/>
      </c>
      <c r="D673" s="47"/>
      <c r="E673" s="52"/>
      <c r="F673" s="47"/>
      <c r="G673" s="36" t="e">
        <f ca="1">_xludf.IFNA(VLOOKUP(F673,'Category Setup'!B:D,3,0), "")</f>
        <v>#NAME?</v>
      </c>
      <c r="H673" s="47"/>
    </row>
    <row r="674" spans="2:8" ht="15.75" customHeight="1" x14ac:dyDescent="0.2">
      <c r="B674" s="38"/>
      <c r="C674" s="28" t="str">
        <f t="shared" si="2"/>
        <v/>
      </c>
      <c r="D674" s="38"/>
      <c r="E674" s="53"/>
      <c r="F674" s="38"/>
      <c r="G674" s="31" t="e">
        <f ca="1">_xludf.IFNA(VLOOKUP(F674,'Category Setup'!B:D,3,0), "")</f>
        <v>#NAME?</v>
      </c>
      <c r="H674" s="38"/>
    </row>
    <row r="675" spans="2:8" ht="15.75" customHeight="1" x14ac:dyDescent="0.2">
      <c r="B675" s="47"/>
      <c r="C675" s="34" t="str">
        <f t="shared" si="2"/>
        <v/>
      </c>
      <c r="D675" s="47"/>
      <c r="E675" s="52"/>
      <c r="F675" s="47"/>
      <c r="G675" s="36" t="e">
        <f ca="1">_xludf.IFNA(VLOOKUP(F675,'Category Setup'!B:D,3,0), "")</f>
        <v>#NAME?</v>
      </c>
      <c r="H675" s="47"/>
    </row>
    <row r="676" spans="2:8" ht="15.75" customHeight="1" x14ac:dyDescent="0.2">
      <c r="B676" s="38"/>
      <c r="C676" s="28" t="str">
        <f t="shared" si="2"/>
        <v/>
      </c>
      <c r="D676" s="38"/>
      <c r="E676" s="53"/>
      <c r="F676" s="38"/>
      <c r="G676" s="31" t="e">
        <f ca="1">_xludf.IFNA(VLOOKUP(F676,'Category Setup'!B:D,3,0), "")</f>
        <v>#NAME?</v>
      </c>
      <c r="H676" s="38"/>
    </row>
    <row r="677" spans="2:8" ht="15.75" customHeight="1" x14ac:dyDescent="0.2">
      <c r="B677" s="47"/>
      <c r="C677" s="34" t="str">
        <f t="shared" si="2"/>
        <v/>
      </c>
      <c r="D677" s="47"/>
      <c r="E677" s="52"/>
      <c r="F677" s="47"/>
      <c r="G677" s="36" t="e">
        <f ca="1">_xludf.IFNA(VLOOKUP(F677,'Category Setup'!B:D,3,0), "")</f>
        <v>#NAME?</v>
      </c>
      <c r="H677" s="47"/>
    </row>
    <row r="678" spans="2:8" ht="15.75" customHeight="1" x14ac:dyDescent="0.2">
      <c r="B678" s="38"/>
      <c r="C678" s="28" t="str">
        <f t="shared" si="2"/>
        <v/>
      </c>
      <c r="D678" s="38"/>
      <c r="E678" s="53"/>
      <c r="F678" s="38"/>
      <c r="G678" s="31" t="e">
        <f ca="1">_xludf.IFNA(VLOOKUP(F678,'Category Setup'!B:D,3,0), "")</f>
        <v>#NAME?</v>
      </c>
      <c r="H678" s="38"/>
    </row>
    <row r="679" spans="2:8" ht="15.75" customHeight="1" x14ac:dyDescent="0.2">
      <c r="B679" s="47"/>
      <c r="C679" s="34" t="str">
        <f t="shared" si="2"/>
        <v/>
      </c>
      <c r="D679" s="47"/>
      <c r="E679" s="52"/>
      <c r="F679" s="47"/>
      <c r="G679" s="36" t="e">
        <f ca="1">_xludf.IFNA(VLOOKUP(F679,'Category Setup'!B:D,3,0), "")</f>
        <v>#NAME?</v>
      </c>
      <c r="H679" s="47"/>
    </row>
    <row r="680" spans="2:8" ht="15.75" customHeight="1" x14ac:dyDescent="0.2">
      <c r="B680" s="38"/>
      <c r="C680" s="28" t="str">
        <f t="shared" si="2"/>
        <v/>
      </c>
      <c r="D680" s="38"/>
      <c r="E680" s="53"/>
      <c r="F680" s="38"/>
      <c r="G680" s="31" t="e">
        <f ca="1">_xludf.IFNA(VLOOKUP(F680,'Category Setup'!B:D,3,0), "")</f>
        <v>#NAME?</v>
      </c>
      <c r="H680" s="38"/>
    </row>
    <row r="681" spans="2:8" ht="15.75" customHeight="1" x14ac:dyDescent="0.2">
      <c r="B681" s="47"/>
      <c r="C681" s="34" t="str">
        <f t="shared" si="2"/>
        <v/>
      </c>
      <c r="D681" s="47"/>
      <c r="E681" s="52"/>
      <c r="F681" s="47"/>
      <c r="G681" s="36" t="e">
        <f ca="1">_xludf.IFNA(VLOOKUP(F681,'Category Setup'!B:D,3,0), "")</f>
        <v>#NAME?</v>
      </c>
      <c r="H681" s="47"/>
    </row>
    <row r="682" spans="2:8" ht="15.75" customHeight="1" x14ac:dyDescent="0.2">
      <c r="B682" s="38"/>
      <c r="C682" s="28" t="str">
        <f t="shared" si="2"/>
        <v/>
      </c>
      <c r="D682" s="38"/>
      <c r="E682" s="53"/>
      <c r="F682" s="38"/>
      <c r="G682" s="31" t="e">
        <f ca="1">_xludf.IFNA(VLOOKUP(F682,'Category Setup'!B:D,3,0), "")</f>
        <v>#NAME?</v>
      </c>
      <c r="H682" s="38"/>
    </row>
    <row r="683" spans="2:8" ht="15.75" customHeight="1" x14ac:dyDescent="0.2">
      <c r="B683" s="47"/>
      <c r="C683" s="34" t="str">
        <f t="shared" si="2"/>
        <v/>
      </c>
      <c r="D683" s="47"/>
      <c r="E683" s="52"/>
      <c r="F683" s="47"/>
      <c r="G683" s="36" t="e">
        <f ca="1">_xludf.IFNA(VLOOKUP(F683,'Category Setup'!B:D,3,0), "")</f>
        <v>#NAME?</v>
      </c>
      <c r="H683" s="47"/>
    </row>
    <row r="684" spans="2:8" ht="15.75" customHeight="1" x14ac:dyDescent="0.2">
      <c r="B684" s="38"/>
      <c r="C684" s="28" t="str">
        <f t="shared" si="2"/>
        <v/>
      </c>
      <c r="D684" s="38"/>
      <c r="E684" s="53"/>
      <c r="F684" s="38"/>
      <c r="G684" s="31" t="e">
        <f ca="1">_xludf.IFNA(VLOOKUP(F684,'Category Setup'!B:D,3,0), "")</f>
        <v>#NAME?</v>
      </c>
      <c r="H684" s="38"/>
    </row>
    <row r="685" spans="2:8" ht="15.75" customHeight="1" x14ac:dyDescent="0.2">
      <c r="B685" s="47"/>
      <c r="C685" s="34" t="str">
        <f t="shared" si="2"/>
        <v/>
      </c>
      <c r="D685" s="47"/>
      <c r="E685" s="52"/>
      <c r="F685" s="47"/>
      <c r="G685" s="36" t="e">
        <f ca="1">_xludf.IFNA(VLOOKUP(F685,'Category Setup'!B:D,3,0), "")</f>
        <v>#NAME?</v>
      </c>
      <c r="H685" s="47"/>
    </row>
    <row r="686" spans="2:8" ht="15.75" customHeight="1" x14ac:dyDescent="0.2">
      <c r="B686" s="38"/>
      <c r="C686" s="28" t="str">
        <f t="shared" si="2"/>
        <v/>
      </c>
      <c r="D686" s="38"/>
      <c r="E686" s="53"/>
      <c r="F686" s="38"/>
      <c r="G686" s="31" t="e">
        <f ca="1">_xludf.IFNA(VLOOKUP(F686,'Category Setup'!B:D,3,0), "")</f>
        <v>#NAME?</v>
      </c>
      <c r="H686" s="38"/>
    </row>
    <row r="687" spans="2:8" ht="15.75" customHeight="1" x14ac:dyDescent="0.2">
      <c r="B687" s="47"/>
      <c r="C687" s="34" t="str">
        <f t="shared" si="2"/>
        <v/>
      </c>
      <c r="D687" s="47"/>
      <c r="E687" s="52"/>
      <c r="F687" s="47"/>
      <c r="G687" s="36" t="e">
        <f ca="1">_xludf.IFNA(VLOOKUP(F687,'Category Setup'!B:D,3,0), "")</f>
        <v>#NAME?</v>
      </c>
      <c r="H687" s="47"/>
    </row>
    <row r="688" spans="2:8" ht="15.75" customHeight="1" x14ac:dyDescent="0.2">
      <c r="B688" s="38"/>
      <c r="C688" s="28" t="str">
        <f t="shared" si="2"/>
        <v/>
      </c>
      <c r="D688" s="38"/>
      <c r="E688" s="53"/>
      <c r="F688" s="38"/>
      <c r="G688" s="31" t="e">
        <f ca="1">_xludf.IFNA(VLOOKUP(F688,'Category Setup'!B:D,3,0), "")</f>
        <v>#NAME?</v>
      </c>
      <c r="H688" s="38"/>
    </row>
    <row r="689" spans="2:8" ht="15.75" customHeight="1" x14ac:dyDescent="0.2">
      <c r="B689" s="47"/>
      <c r="C689" s="34" t="str">
        <f t="shared" si="2"/>
        <v/>
      </c>
      <c r="D689" s="47"/>
      <c r="E689" s="52"/>
      <c r="F689" s="47"/>
      <c r="G689" s="36" t="e">
        <f ca="1">_xludf.IFNA(VLOOKUP(F689,'Category Setup'!B:D,3,0), "")</f>
        <v>#NAME?</v>
      </c>
      <c r="H689" s="47"/>
    </row>
    <row r="690" spans="2:8" ht="15.75" customHeight="1" x14ac:dyDescent="0.2">
      <c r="B690" s="38"/>
      <c r="C690" s="28" t="str">
        <f t="shared" si="2"/>
        <v/>
      </c>
      <c r="D690" s="38"/>
      <c r="E690" s="53"/>
      <c r="F690" s="38"/>
      <c r="G690" s="31" t="e">
        <f ca="1">_xludf.IFNA(VLOOKUP(F690,'Category Setup'!B:D,3,0), "")</f>
        <v>#NAME?</v>
      </c>
      <c r="H690" s="38"/>
    </row>
    <row r="691" spans="2:8" ht="15.75" customHeight="1" x14ac:dyDescent="0.2">
      <c r="B691" s="47"/>
      <c r="C691" s="34" t="str">
        <f t="shared" si="2"/>
        <v/>
      </c>
      <c r="D691" s="47"/>
      <c r="E691" s="52"/>
      <c r="F691" s="47"/>
      <c r="G691" s="36" t="e">
        <f ca="1">_xludf.IFNA(VLOOKUP(F691,'Category Setup'!B:D,3,0), "")</f>
        <v>#NAME?</v>
      </c>
      <c r="H691" s="47"/>
    </row>
    <row r="692" spans="2:8" ht="15.75" customHeight="1" x14ac:dyDescent="0.2">
      <c r="B692" s="38"/>
      <c r="C692" s="28" t="str">
        <f t="shared" si="2"/>
        <v/>
      </c>
      <c r="D692" s="38"/>
      <c r="E692" s="53"/>
      <c r="F692" s="38"/>
      <c r="G692" s="31" t="e">
        <f ca="1">_xludf.IFNA(VLOOKUP(F692,'Category Setup'!B:D,3,0), "")</f>
        <v>#NAME?</v>
      </c>
      <c r="H692" s="38"/>
    </row>
    <row r="693" spans="2:8" ht="15.75" customHeight="1" x14ac:dyDescent="0.2">
      <c r="B693" s="47"/>
      <c r="C693" s="34" t="str">
        <f t="shared" si="2"/>
        <v/>
      </c>
      <c r="D693" s="47"/>
      <c r="E693" s="52"/>
      <c r="F693" s="47"/>
      <c r="G693" s="36" t="e">
        <f ca="1">_xludf.IFNA(VLOOKUP(F693,'Category Setup'!B:D,3,0), "")</f>
        <v>#NAME?</v>
      </c>
      <c r="H693" s="47"/>
    </row>
    <row r="694" spans="2:8" ht="15.75" customHeight="1" x14ac:dyDescent="0.2">
      <c r="B694" s="38"/>
      <c r="C694" s="28" t="str">
        <f t="shared" si="2"/>
        <v/>
      </c>
      <c r="D694" s="38"/>
      <c r="E694" s="53"/>
      <c r="F694" s="38"/>
      <c r="G694" s="31" t="e">
        <f ca="1">_xludf.IFNA(VLOOKUP(F694,'Category Setup'!B:D,3,0), "")</f>
        <v>#NAME?</v>
      </c>
      <c r="H694" s="38"/>
    </row>
    <row r="695" spans="2:8" ht="15.75" customHeight="1" x14ac:dyDescent="0.2">
      <c r="B695" s="47"/>
      <c r="C695" s="34" t="str">
        <f t="shared" si="2"/>
        <v/>
      </c>
      <c r="D695" s="47"/>
      <c r="E695" s="52"/>
      <c r="F695" s="47"/>
      <c r="G695" s="36" t="e">
        <f ca="1">_xludf.IFNA(VLOOKUP(F695,'Category Setup'!B:D,3,0), "")</f>
        <v>#NAME?</v>
      </c>
      <c r="H695" s="47"/>
    </row>
    <row r="696" spans="2:8" ht="15.75" customHeight="1" x14ac:dyDescent="0.2">
      <c r="B696" s="38"/>
      <c r="C696" s="28" t="str">
        <f t="shared" si="2"/>
        <v/>
      </c>
      <c r="D696" s="38"/>
      <c r="E696" s="53"/>
      <c r="F696" s="38"/>
      <c r="G696" s="31" t="e">
        <f ca="1">_xludf.IFNA(VLOOKUP(F696,'Category Setup'!B:D,3,0), "")</f>
        <v>#NAME?</v>
      </c>
      <c r="H696" s="38"/>
    </row>
    <row r="697" spans="2:8" ht="15.75" customHeight="1" x14ac:dyDescent="0.2">
      <c r="B697" s="47"/>
      <c r="C697" s="34" t="str">
        <f t="shared" si="2"/>
        <v/>
      </c>
      <c r="D697" s="47"/>
      <c r="E697" s="52"/>
      <c r="F697" s="47"/>
      <c r="G697" s="36" t="e">
        <f ca="1">_xludf.IFNA(VLOOKUP(F697,'Category Setup'!B:D,3,0), "")</f>
        <v>#NAME?</v>
      </c>
      <c r="H697" s="47"/>
    </row>
    <row r="698" spans="2:8" ht="15.75" customHeight="1" x14ac:dyDescent="0.2">
      <c r="B698" s="38"/>
      <c r="C698" s="28" t="str">
        <f t="shared" si="2"/>
        <v/>
      </c>
      <c r="D698" s="38"/>
      <c r="E698" s="53"/>
      <c r="F698" s="38"/>
      <c r="G698" s="31" t="e">
        <f ca="1">_xludf.IFNA(VLOOKUP(F698,'Category Setup'!B:D,3,0), "")</f>
        <v>#NAME?</v>
      </c>
      <c r="H698" s="38"/>
    </row>
    <row r="699" spans="2:8" ht="15.75" customHeight="1" x14ac:dyDescent="0.2">
      <c r="B699" s="47"/>
      <c r="C699" s="34" t="str">
        <f t="shared" si="2"/>
        <v/>
      </c>
      <c r="D699" s="47"/>
      <c r="E699" s="52"/>
      <c r="F699" s="47"/>
      <c r="G699" s="36" t="e">
        <f ca="1">_xludf.IFNA(VLOOKUP(F699,'Category Setup'!B:D,3,0), "")</f>
        <v>#NAME?</v>
      </c>
      <c r="H699" s="47"/>
    </row>
    <row r="700" spans="2:8" ht="15.75" customHeight="1" x14ac:dyDescent="0.2">
      <c r="B700" s="38"/>
      <c r="C700" s="28" t="str">
        <f t="shared" si="2"/>
        <v/>
      </c>
      <c r="D700" s="38"/>
      <c r="E700" s="53"/>
      <c r="F700" s="38"/>
      <c r="G700" s="31" t="e">
        <f ca="1">_xludf.IFNA(VLOOKUP(F700,'Category Setup'!B:D,3,0), "")</f>
        <v>#NAME?</v>
      </c>
      <c r="H700" s="38"/>
    </row>
    <row r="701" spans="2:8" ht="15.75" customHeight="1" x14ac:dyDescent="0.2">
      <c r="B701" s="47"/>
      <c r="C701" s="34" t="str">
        <f t="shared" si="2"/>
        <v/>
      </c>
      <c r="D701" s="47"/>
      <c r="E701" s="52"/>
      <c r="F701" s="47"/>
      <c r="G701" s="36" t="e">
        <f ca="1">_xludf.IFNA(VLOOKUP(F701,'Category Setup'!B:D,3,0), "")</f>
        <v>#NAME?</v>
      </c>
      <c r="H701" s="47"/>
    </row>
    <row r="702" spans="2:8" ht="15.75" customHeight="1" x14ac:dyDescent="0.2">
      <c r="B702" s="38"/>
      <c r="C702" s="28" t="str">
        <f t="shared" si="2"/>
        <v/>
      </c>
      <c r="D702" s="38"/>
      <c r="E702" s="53"/>
      <c r="F702" s="38"/>
      <c r="G702" s="31" t="e">
        <f ca="1">_xludf.IFNA(VLOOKUP(F702,'Category Setup'!B:D,3,0), "")</f>
        <v>#NAME?</v>
      </c>
      <c r="H702" s="38"/>
    </row>
    <row r="703" spans="2:8" ht="15.75" customHeight="1" x14ac:dyDescent="0.2">
      <c r="B703" s="47"/>
      <c r="C703" s="34" t="str">
        <f t="shared" si="2"/>
        <v/>
      </c>
      <c r="D703" s="47"/>
      <c r="E703" s="52"/>
      <c r="F703" s="47"/>
      <c r="G703" s="36" t="e">
        <f ca="1">_xludf.IFNA(VLOOKUP(F703,'Category Setup'!B:D,3,0), "")</f>
        <v>#NAME?</v>
      </c>
      <c r="H703" s="47"/>
    </row>
    <row r="704" spans="2:8" ht="15.75" customHeight="1" x14ac:dyDescent="0.2">
      <c r="B704" s="38"/>
      <c r="C704" s="28" t="str">
        <f t="shared" si="2"/>
        <v/>
      </c>
      <c r="D704" s="38"/>
      <c r="E704" s="53"/>
      <c r="F704" s="38"/>
      <c r="G704" s="31" t="e">
        <f ca="1">_xludf.IFNA(VLOOKUP(F704,'Category Setup'!B:D,3,0), "")</f>
        <v>#NAME?</v>
      </c>
      <c r="H704" s="38"/>
    </row>
    <row r="705" spans="2:8" ht="15.75" customHeight="1" x14ac:dyDescent="0.2">
      <c r="B705" s="47"/>
      <c r="C705" s="34" t="str">
        <f t="shared" si="2"/>
        <v/>
      </c>
      <c r="D705" s="47"/>
      <c r="E705" s="52"/>
      <c r="F705" s="47"/>
      <c r="G705" s="36" t="e">
        <f ca="1">_xludf.IFNA(VLOOKUP(F705,'Category Setup'!B:D,3,0), "")</f>
        <v>#NAME?</v>
      </c>
      <c r="H705" s="47"/>
    </row>
    <row r="706" spans="2:8" ht="15.75" customHeight="1" x14ac:dyDescent="0.2">
      <c r="B706" s="38"/>
      <c r="C706" s="28" t="str">
        <f t="shared" si="2"/>
        <v/>
      </c>
      <c r="D706" s="38"/>
      <c r="E706" s="53"/>
      <c r="F706" s="38"/>
      <c r="G706" s="31" t="e">
        <f ca="1">_xludf.IFNA(VLOOKUP(F706,'Category Setup'!B:D,3,0), "")</f>
        <v>#NAME?</v>
      </c>
      <c r="H706" s="38"/>
    </row>
    <row r="707" spans="2:8" ht="15.75" customHeight="1" x14ac:dyDescent="0.2">
      <c r="B707" s="47"/>
      <c r="C707" s="34" t="str">
        <f t="shared" si="2"/>
        <v/>
      </c>
      <c r="D707" s="47"/>
      <c r="E707" s="52"/>
      <c r="F707" s="47"/>
      <c r="G707" s="36" t="e">
        <f ca="1">_xludf.IFNA(VLOOKUP(F707,'Category Setup'!B:D,3,0), "")</f>
        <v>#NAME?</v>
      </c>
      <c r="H707" s="47"/>
    </row>
    <row r="708" spans="2:8" ht="15.75" customHeight="1" x14ac:dyDescent="0.2">
      <c r="B708" s="38"/>
      <c r="C708" s="28" t="str">
        <f t="shared" si="2"/>
        <v/>
      </c>
      <c r="D708" s="38"/>
      <c r="E708" s="53"/>
      <c r="F708" s="38"/>
      <c r="G708" s="31" t="e">
        <f ca="1">_xludf.IFNA(VLOOKUP(F708,'Category Setup'!B:D,3,0), "")</f>
        <v>#NAME?</v>
      </c>
      <c r="H708" s="38"/>
    </row>
    <row r="709" spans="2:8" ht="15.75" customHeight="1" x14ac:dyDescent="0.2">
      <c r="B709" s="47"/>
      <c r="C709" s="34" t="str">
        <f t="shared" si="2"/>
        <v/>
      </c>
      <c r="D709" s="47"/>
      <c r="E709" s="52"/>
      <c r="F709" s="47"/>
      <c r="G709" s="36" t="e">
        <f ca="1">_xludf.IFNA(VLOOKUP(F709,'Category Setup'!B:D,3,0), "")</f>
        <v>#NAME?</v>
      </c>
      <c r="H709" s="47"/>
    </row>
    <row r="710" spans="2:8" ht="15.75" customHeight="1" x14ac:dyDescent="0.2">
      <c r="B710" s="38"/>
      <c r="C710" s="28" t="str">
        <f t="shared" si="2"/>
        <v/>
      </c>
      <c r="D710" s="38"/>
      <c r="E710" s="53"/>
      <c r="F710" s="38"/>
      <c r="G710" s="31" t="e">
        <f ca="1">_xludf.IFNA(VLOOKUP(F710,'Category Setup'!B:D,3,0), "")</f>
        <v>#NAME?</v>
      </c>
      <c r="H710" s="38"/>
    </row>
    <row r="711" spans="2:8" ht="15.75" customHeight="1" x14ac:dyDescent="0.2">
      <c r="B711" s="47"/>
      <c r="C711" s="34" t="str">
        <f t="shared" si="2"/>
        <v/>
      </c>
      <c r="D711" s="47"/>
      <c r="E711" s="52"/>
      <c r="F711" s="47"/>
      <c r="G711" s="36" t="e">
        <f ca="1">_xludf.IFNA(VLOOKUP(F711,'Category Setup'!B:D,3,0), "")</f>
        <v>#NAME?</v>
      </c>
      <c r="H711" s="47"/>
    </row>
    <row r="712" spans="2:8" ht="15.75" customHeight="1" x14ac:dyDescent="0.2">
      <c r="B712" s="38"/>
      <c r="C712" s="28" t="str">
        <f t="shared" si="2"/>
        <v/>
      </c>
      <c r="D712" s="38"/>
      <c r="E712" s="53"/>
      <c r="F712" s="38"/>
      <c r="G712" s="31" t="e">
        <f ca="1">_xludf.IFNA(VLOOKUP(F712,'Category Setup'!B:D,3,0), "")</f>
        <v>#NAME?</v>
      </c>
      <c r="H712" s="38"/>
    </row>
    <row r="713" spans="2:8" ht="15.75" customHeight="1" x14ac:dyDescent="0.2">
      <c r="B713" s="47"/>
      <c r="C713" s="34" t="str">
        <f t="shared" si="2"/>
        <v/>
      </c>
      <c r="D713" s="47"/>
      <c r="E713" s="52"/>
      <c r="F713" s="47"/>
      <c r="G713" s="36" t="e">
        <f ca="1">_xludf.IFNA(VLOOKUP(F713,'Category Setup'!B:D,3,0), "")</f>
        <v>#NAME?</v>
      </c>
      <c r="H713" s="47"/>
    </row>
    <row r="714" spans="2:8" ht="15.75" customHeight="1" x14ac:dyDescent="0.2">
      <c r="B714" s="38"/>
      <c r="C714" s="28" t="str">
        <f t="shared" si="2"/>
        <v/>
      </c>
      <c r="D714" s="38"/>
      <c r="E714" s="53"/>
      <c r="F714" s="38"/>
      <c r="G714" s="31" t="e">
        <f ca="1">_xludf.IFNA(VLOOKUP(F714,'Category Setup'!B:D,3,0), "")</f>
        <v>#NAME?</v>
      </c>
      <c r="H714" s="38"/>
    </row>
    <row r="715" spans="2:8" ht="15.75" customHeight="1" x14ac:dyDescent="0.2">
      <c r="B715" s="47"/>
      <c r="C715" s="34" t="str">
        <f t="shared" si="2"/>
        <v/>
      </c>
      <c r="D715" s="47"/>
      <c r="E715" s="52"/>
      <c r="F715" s="47"/>
      <c r="G715" s="36" t="e">
        <f ca="1">_xludf.IFNA(VLOOKUP(F715,'Category Setup'!B:D,3,0), "")</f>
        <v>#NAME?</v>
      </c>
      <c r="H715" s="47"/>
    </row>
    <row r="716" spans="2:8" ht="15.75" customHeight="1" x14ac:dyDescent="0.2">
      <c r="B716" s="38"/>
      <c r="C716" s="28" t="str">
        <f t="shared" si="2"/>
        <v/>
      </c>
      <c r="D716" s="38"/>
      <c r="E716" s="53"/>
      <c r="F716" s="38"/>
      <c r="G716" s="31" t="e">
        <f ca="1">_xludf.IFNA(VLOOKUP(F716,'Category Setup'!B:D,3,0), "")</f>
        <v>#NAME?</v>
      </c>
      <c r="H716" s="38"/>
    </row>
    <row r="717" spans="2:8" ht="15.75" customHeight="1" x14ac:dyDescent="0.2">
      <c r="B717" s="47"/>
      <c r="C717" s="34" t="str">
        <f t="shared" si="2"/>
        <v/>
      </c>
      <c r="D717" s="47"/>
      <c r="E717" s="52"/>
      <c r="F717" s="47"/>
      <c r="G717" s="36" t="e">
        <f ca="1">_xludf.IFNA(VLOOKUP(F717,'Category Setup'!B:D,3,0), "")</f>
        <v>#NAME?</v>
      </c>
      <c r="H717" s="47"/>
    </row>
    <row r="718" spans="2:8" ht="15.75" customHeight="1" x14ac:dyDescent="0.2">
      <c r="B718" s="38"/>
      <c r="C718" s="28" t="str">
        <f t="shared" si="2"/>
        <v/>
      </c>
      <c r="D718" s="38"/>
      <c r="E718" s="53"/>
      <c r="F718" s="38"/>
      <c r="G718" s="31" t="e">
        <f ca="1">_xludf.IFNA(VLOOKUP(F718,'Category Setup'!B:D,3,0), "")</f>
        <v>#NAME?</v>
      </c>
      <c r="H718" s="38"/>
    </row>
    <row r="719" spans="2:8" ht="15.75" customHeight="1" x14ac:dyDescent="0.2">
      <c r="B719" s="47"/>
      <c r="C719" s="34" t="str">
        <f t="shared" si="2"/>
        <v/>
      </c>
      <c r="D719" s="47"/>
      <c r="E719" s="52"/>
      <c r="F719" s="47"/>
      <c r="G719" s="36" t="e">
        <f ca="1">_xludf.IFNA(VLOOKUP(F719,'Category Setup'!B:D,3,0), "")</f>
        <v>#NAME?</v>
      </c>
      <c r="H719" s="47"/>
    </row>
    <row r="720" spans="2:8" ht="15.75" customHeight="1" x14ac:dyDescent="0.2">
      <c r="B720" s="38"/>
      <c r="C720" s="28" t="str">
        <f t="shared" si="2"/>
        <v/>
      </c>
      <c r="D720" s="38"/>
      <c r="E720" s="53"/>
      <c r="F720" s="38"/>
      <c r="G720" s="31" t="e">
        <f ca="1">_xludf.IFNA(VLOOKUP(F720,'Category Setup'!B:D,3,0), "")</f>
        <v>#NAME?</v>
      </c>
      <c r="H720" s="38"/>
    </row>
    <row r="721" spans="2:8" ht="15.75" customHeight="1" x14ac:dyDescent="0.2">
      <c r="B721" s="47"/>
      <c r="C721" s="34" t="str">
        <f t="shared" si="2"/>
        <v/>
      </c>
      <c r="D721" s="47"/>
      <c r="E721" s="52"/>
      <c r="F721" s="47"/>
      <c r="G721" s="36" t="e">
        <f ca="1">_xludf.IFNA(VLOOKUP(F721,'Category Setup'!B:D,3,0), "")</f>
        <v>#NAME?</v>
      </c>
      <c r="H721" s="47"/>
    </row>
    <row r="722" spans="2:8" ht="15.75" customHeight="1" x14ac:dyDescent="0.2">
      <c r="B722" s="38"/>
      <c r="C722" s="28" t="str">
        <f t="shared" si="2"/>
        <v/>
      </c>
      <c r="D722" s="38"/>
      <c r="E722" s="53"/>
      <c r="F722" s="38"/>
      <c r="G722" s="31" t="e">
        <f ca="1">_xludf.IFNA(VLOOKUP(F722,'Category Setup'!B:D,3,0), "")</f>
        <v>#NAME?</v>
      </c>
      <c r="H722" s="38"/>
    </row>
    <row r="723" spans="2:8" ht="15.75" customHeight="1" x14ac:dyDescent="0.2">
      <c r="B723" s="47"/>
      <c r="C723" s="34" t="str">
        <f t="shared" si="2"/>
        <v/>
      </c>
      <c r="D723" s="47"/>
      <c r="E723" s="52"/>
      <c r="F723" s="47"/>
      <c r="G723" s="36" t="e">
        <f ca="1">_xludf.IFNA(VLOOKUP(F723,'Category Setup'!B:D,3,0), "")</f>
        <v>#NAME?</v>
      </c>
      <c r="H723" s="47"/>
    </row>
    <row r="724" spans="2:8" ht="15.75" customHeight="1" x14ac:dyDescent="0.2">
      <c r="B724" s="38"/>
      <c r="C724" s="28" t="str">
        <f t="shared" si="2"/>
        <v/>
      </c>
      <c r="D724" s="38"/>
      <c r="E724" s="53"/>
      <c r="F724" s="38"/>
      <c r="G724" s="31" t="e">
        <f ca="1">_xludf.IFNA(VLOOKUP(F724,'Category Setup'!B:D,3,0), "")</f>
        <v>#NAME?</v>
      </c>
      <c r="H724" s="38"/>
    </row>
    <row r="725" spans="2:8" ht="15.75" customHeight="1" x14ac:dyDescent="0.2">
      <c r="B725" s="47"/>
      <c r="C725" s="34" t="str">
        <f t="shared" si="2"/>
        <v/>
      </c>
      <c r="D725" s="47"/>
      <c r="E725" s="52"/>
      <c r="F725" s="47"/>
      <c r="G725" s="36" t="e">
        <f ca="1">_xludf.IFNA(VLOOKUP(F725,'Category Setup'!B:D,3,0), "")</f>
        <v>#NAME?</v>
      </c>
      <c r="H725" s="47"/>
    </row>
    <row r="726" spans="2:8" ht="15.75" customHeight="1" x14ac:dyDescent="0.2">
      <c r="B726" s="38"/>
      <c r="C726" s="28" t="str">
        <f t="shared" si="2"/>
        <v/>
      </c>
      <c r="D726" s="38"/>
      <c r="E726" s="53"/>
      <c r="F726" s="38"/>
      <c r="G726" s="31" t="e">
        <f ca="1">_xludf.IFNA(VLOOKUP(F726,'Category Setup'!B:D,3,0), "")</f>
        <v>#NAME?</v>
      </c>
      <c r="H726" s="38"/>
    </row>
    <row r="727" spans="2:8" ht="15.75" customHeight="1" x14ac:dyDescent="0.2">
      <c r="B727" s="47"/>
      <c r="C727" s="34" t="str">
        <f t="shared" si="2"/>
        <v/>
      </c>
      <c r="D727" s="47"/>
      <c r="E727" s="52"/>
      <c r="F727" s="47"/>
      <c r="G727" s="36" t="e">
        <f ca="1">_xludf.IFNA(VLOOKUP(F727,'Category Setup'!B:D,3,0), "")</f>
        <v>#NAME?</v>
      </c>
      <c r="H727" s="47"/>
    </row>
    <row r="728" spans="2:8" ht="15.75" customHeight="1" x14ac:dyDescent="0.2">
      <c r="B728" s="38"/>
      <c r="C728" s="28" t="str">
        <f t="shared" si="2"/>
        <v/>
      </c>
      <c r="D728" s="38"/>
      <c r="E728" s="53"/>
      <c r="F728" s="38"/>
      <c r="G728" s="31" t="e">
        <f ca="1">_xludf.IFNA(VLOOKUP(F728,'Category Setup'!B:D,3,0), "")</f>
        <v>#NAME?</v>
      </c>
      <c r="H728" s="38"/>
    </row>
    <row r="729" spans="2:8" ht="15.75" customHeight="1" x14ac:dyDescent="0.2">
      <c r="B729" s="47"/>
      <c r="C729" s="34" t="str">
        <f t="shared" si="2"/>
        <v/>
      </c>
      <c r="D729" s="47"/>
      <c r="E729" s="52"/>
      <c r="F729" s="47"/>
      <c r="G729" s="36" t="e">
        <f ca="1">_xludf.IFNA(VLOOKUP(F729,'Category Setup'!B:D,3,0), "")</f>
        <v>#NAME?</v>
      </c>
      <c r="H729" s="47"/>
    </row>
    <row r="730" spans="2:8" ht="15.75" customHeight="1" x14ac:dyDescent="0.2">
      <c r="B730" s="38"/>
      <c r="C730" s="28" t="str">
        <f t="shared" si="2"/>
        <v/>
      </c>
      <c r="D730" s="38"/>
      <c r="E730" s="53"/>
      <c r="F730" s="38"/>
      <c r="G730" s="31" t="e">
        <f ca="1">_xludf.IFNA(VLOOKUP(F730,'Category Setup'!B:D,3,0), "")</f>
        <v>#NAME?</v>
      </c>
      <c r="H730" s="38"/>
    </row>
    <row r="731" spans="2:8" ht="15.75" customHeight="1" x14ac:dyDescent="0.2">
      <c r="B731" s="47"/>
      <c r="C731" s="34" t="str">
        <f t="shared" si="2"/>
        <v/>
      </c>
      <c r="D731" s="47"/>
      <c r="E731" s="52"/>
      <c r="F731" s="47"/>
      <c r="G731" s="36" t="e">
        <f ca="1">_xludf.IFNA(VLOOKUP(F731,'Category Setup'!B:D,3,0), "")</f>
        <v>#NAME?</v>
      </c>
      <c r="H731" s="47"/>
    </row>
    <row r="732" spans="2:8" ht="15.75" customHeight="1" x14ac:dyDescent="0.2">
      <c r="B732" s="38"/>
      <c r="C732" s="28" t="str">
        <f t="shared" si="2"/>
        <v/>
      </c>
      <c r="D732" s="38"/>
      <c r="E732" s="53"/>
      <c r="F732" s="38"/>
      <c r="G732" s="31" t="e">
        <f ca="1">_xludf.IFNA(VLOOKUP(F732,'Category Setup'!B:D,3,0), "")</f>
        <v>#NAME?</v>
      </c>
      <c r="H732" s="38"/>
    </row>
    <row r="733" spans="2:8" ht="15.75" customHeight="1" x14ac:dyDescent="0.2">
      <c r="B733" s="47"/>
      <c r="C733" s="34" t="str">
        <f t="shared" si="2"/>
        <v/>
      </c>
      <c r="D733" s="47"/>
      <c r="E733" s="52"/>
      <c r="F733" s="47"/>
      <c r="G733" s="36" t="e">
        <f ca="1">_xludf.IFNA(VLOOKUP(F733,'Category Setup'!B:D,3,0), "")</f>
        <v>#NAME?</v>
      </c>
      <c r="H733" s="47"/>
    </row>
    <row r="734" spans="2:8" ht="15.75" customHeight="1" x14ac:dyDescent="0.2">
      <c r="B734" s="38"/>
      <c r="C734" s="28" t="str">
        <f t="shared" si="2"/>
        <v/>
      </c>
      <c r="D734" s="38"/>
      <c r="E734" s="53"/>
      <c r="F734" s="38"/>
      <c r="G734" s="31" t="e">
        <f ca="1">_xludf.IFNA(VLOOKUP(F734,'Category Setup'!B:D,3,0), "")</f>
        <v>#NAME?</v>
      </c>
      <c r="H734" s="38"/>
    </row>
    <row r="735" spans="2:8" ht="15.75" customHeight="1" x14ac:dyDescent="0.2">
      <c r="B735" s="47"/>
      <c r="C735" s="34" t="str">
        <f t="shared" si="2"/>
        <v/>
      </c>
      <c r="D735" s="47"/>
      <c r="E735" s="52"/>
      <c r="F735" s="47"/>
      <c r="G735" s="36" t="e">
        <f ca="1">_xludf.IFNA(VLOOKUP(F735,'Category Setup'!B:D,3,0), "")</f>
        <v>#NAME?</v>
      </c>
      <c r="H735" s="47"/>
    </row>
    <row r="736" spans="2:8" ht="15.75" customHeight="1" x14ac:dyDescent="0.2">
      <c r="B736" s="38"/>
      <c r="C736" s="28" t="str">
        <f t="shared" si="2"/>
        <v/>
      </c>
      <c r="D736" s="38"/>
      <c r="E736" s="53"/>
      <c r="F736" s="38"/>
      <c r="G736" s="31" t="e">
        <f ca="1">_xludf.IFNA(VLOOKUP(F736,'Category Setup'!B:D,3,0), "")</f>
        <v>#NAME?</v>
      </c>
      <c r="H736" s="38"/>
    </row>
    <row r="737" spans="2:8" ht="15.75" customHeight="1" x14ac:dyDescent="0.2">
      <c r="B737" s="47"/>
      <c r="C737" s="34" t="str">
        <f t="shared" si="2"/>
        <v/>
      </c>
      <c r="D737" s="47"/>
      <c r="E737" s="52"/>
      <c r="F737" s="47"/>
      <c r="G737" s="36" t="e">
        <f ca="1">_xludf.IFNA(VLOOKUP(F737,'Category Setup'!B:D,3,0), "")</f>
        <v>#NAME?</v>
      </c>
      <c r="H737" s="47"/>
    </row>
    <row r="738" spans="2:8" ht="15.75" customHeight="1" x14ac:dyDescent="0.2">
      <c r="B738" s="38"/>
      <c r="C738" s="28" t="str">
        <f t="shared" si="2"/>
        <v/>
      </c>
      <c r="D738" s="38"/>
      <c r="E738" s="53"/>
      <c r="F738" s="38"/>
      <c r="G738" s="31" t="e">
        <f ca="1">_xludf.IFNA(VLOOKUP(F738,'Category Setup'!B:D,3,0), "")</f>
        <v>#NAME?</v>
      </c>
      <c r="H738" s="38"/>
    </row>
    <row r="739" spans="2:8" ht="15.75" customHeight="1" x14ac:dyDescent="0.2">
      <c r="B739" s="47"/>
      <c r="C739" s="34" t="str">
        <f t="shared" si="2"/>
        <v/>
      </c>
      <c r="D739" s="47"/>
      <c r="E739" s="52"/>
      <c r="F739" s="47"/>
      <c r="G739" s="36" t="e">
        <f ca="1">_xludf.IFNA(VLOOKUP(F739,'Category Setup'!B:D,3,0), "")</f>
        <v>#NAME?</v>
      </c>
      <c r="H739" s="47"/>
    </row>
    <row r="740" spans="2:8" ht="15.75" customHeight="1" x14ac:dyDescent="0.2">
      <c r="B740" s="38"/>
      <c r="C740" s="28" t="str">
        <f t="shared" si="2"/>
        <v/>
      </c>
      <c r="D740" s="38"/>
      <c r="E740" s="53"/>
      <c r="F740" s="38"/>
      <c r="G740" s="31" t="e">
        <f ca="1">_xludf.IFNA(VLOOKUP(F740,'Category Setup'!B:D,3,0), "")</f>
        <v>#NAME?</v>
      </c>
      <c r="H740" s="38"/>
    </row>
    <row r="741" spans="2:8" ht="15.75" customHeight="1" x14ac:dyDescent="0.2">
      <c r="B741" s="47"/>
      <c r="C741" s="34" t="str">
        <f t="shared" si="2"/>
        <v/>
      </c>
      <c r="D741" s="47"/>
      <c r="E741" s="52"/>
      <c r="F741" s="47"/>
      <c r="G741" s="36" t="e">
        <f ca="1">_xludf.IFNA(VLOOKUP(F741,'Category Setup'!B:D,3,0), "")</f>
        <v>#NAME?</v>
      </c>
      <c r="H741" s="47"/>
    </row>
    <row r="742" spans="2:8" ht="15.75" customHeight="1" x14ac:dyDescent="0.2">
      <c r="B742" s="38"/>
      <c r="C742" s="28" t="str">
        <f t="shared" si="2"/>
        <v/>
      </c>
      <c r="D742" s="38"/>
      <c r="E742" s="53"/>
      <c r="F742" s="38"/>
      <c r="G742" s="31" t="e">
        <f ca="1">_xludf.IFNA(VLOOKUP(F742,'Category Setup'!B:D,3,0), "")</f>
        <v>#NAME?</v>
      </c>
      <c r="H742" s="38"/>
    </row>
    <row r="743" spans="2:8" ht="15.75" customHeight="1" x14ac:dyDescent="0.2">
      <c r="B743" s="47"/>
      <c r="C743" s="34" t="str">
        <f t="shared" si="2"/>
        <v/>
      </c>
      <c r="D743" s="47"/>
      <c r="E743" s="52"/>
      <c r="F743" s="47"/>
      <c r="G743" s="36" t="e">
        <f ca="1">_xludf.IFNA(VLOOKUP(F743,'Category Setup'!B:D,3,0), "")</f>
        <v>#NAME?</v>
      </c>
      <c r="H743" s="47"/>
    </row>
    <row r="744" spans="2:8" ht="15.75" customHeight="1" x14ac:dyDescent="0.2">
      <c r="B744" s="38"/>
      <c r="C744" s="28" t="str">
        <f t="shared" si="2"/>
        <v/>
      </c>
      <c r="D744" s="38"/>
      <c r="E744" s="53"/>
      <c r="F744" s="38"/>
      <c r="G744" s="31" t="e">
        <f ca="1">_xludf.IFNA(VLOOKUP(F744,'Category Setup'!B:D,3,0), "")</f>
        <v>#NAME?</v>
      </c>
      <c r="H744" s="38"/>
    </row>
    <row r="745" spans="2:8" ht="15.75" customHeight="1" x14ac:dyDescent="0.2">
      <c r="B745" s="47"/>
      <c r="C745" s="34" t="str">
        <f t="shared" si="2"/>
        <v/>
      </c>
      <c r="D745" s="47"/>
      <c r="E745" s="52"/>
      <c r="F745" s="47"/>
      <c r="G745" s="36" t="e">
        <f ca="1">_xludf.IFNA(VLOOKUP(F745,'Category Setup'!B:D,3,0), "")</f>
        <v>#NAME?</v>
      </c>
      <c r="H745" s="47"/>
    </row>
    <row r="746" spans="2:8" ht="15.75" customHeight="1" x14ac:dyDescent="0.2">
      <c r="B746" s="38"/>
      <c r="C746" s="28" t="str">
        <f t="shared" si="2"/>
        <v/>
      </c>
      <c r="D746" s="38"/>
      <c r="E746" s="53"/>
      <c r="F746" s="38"/>
      <c r="G746" s="31" t="e">
        <f ca="1">_xludf.IFNA(VLOOKUP(F746,'Category Setup'!B:D,3,0), "")</f>
        <v>#NAME?</v>
      </c>
      <c r="H746" s="38"/>
    </row>
    <row r="747" spans="2:8" ht="15.75" customHeight="1" x14ac:dyDescent="0.2">
      <c r="B747" s="47"/>
      <c r="C747" s="34" t="str">
        <f t="shared" si="2"/>
        <v/>
      </c>
      <c r="D747" s="47"/>
      <c r="E747" s="52"/>
      <c r="F747" s="47"/>
      <c r="G747" s="36" t="e">
        <f ca="1">_xludf.IFNA(VLOOKUP(F747,'Category Setup'!B:D,3,0), "")</f>
        <v>#NAME?</v>
      </c>
      <c r="H747" s="47"/>
    </row>
    <row r="748" spans="2:8" ht="15.75" customHeight="1" x14ac:dyDescent="0.2">
      <c r="B748" s="38"/>
      <c r="C748" s="28" t="str">
        <f t="shared" si="2"/>
        <v/>
      </c>
      <c r="D748" s="38"/>
      <c r="E748" s="53"/>
      <c r="F748" s="38"/>
      <c r="G748" s="31" t="e">
        <f ca="1">_xludf.IFNA(VLOOKUP(F748,'Category Setup'!B:D,3,0), "")</f>
        <v>#NAME?</v>
      </c>
      <c r="H748" s="38"/>
    </row>
    <row r="749" spans="2:8" ht="15.75" customHeight="1" x14ac:dyDescent="0.2">
      <c r="B749" s="47"/>
      <c r="C749" s="34" t="str">
        <f t="shared" si="2"/>
        <v/>
      </c>
      <c r="D749" s="47"/>
      <c r="E749" s="52"/>
      <c r="F749" s="47"/>
      <c r="G749" s="36" t="e">
        <f ca="1">_xludf.IFNA(VLOOKUP(F749,'Category Setup'!B:D,3,0), "")</f>
        <v>#NAME?</v>
      </c>
      <c r="H749" s="47"/>
    </row>
    <row r="750" spans="2:8" ht="15.75" customHeight="1" x14ac:dyDescent="0.2">
      <c r="B750" s="38"/>
      <c r="C750" s="28" t="str">
        <f t="shared" si="2"/>
        <v/>
      </c>
      <c r="D750" s="38"/>
      <c r="E750" s="53"/>
      <c r="F750" s="38"/>
      <c r="G750" s="31" t="e">
        <f ca="1">_xludf.IFNA(VLOOKUP(F750,'Category Setup'!B:D,3,0), "")</f>
        <v>#NAME?</v>
      </c>
      <c r="H750" s="38"/>
    </row>
    <row r="751" spans="2:8" ht="15.75" customHeight="1" x14ac:dyDescent="0.2">
      <c r="B751" s="47"/>
      <c r="C751" s="34" t="str">
        <f t="shared" si="2"/>
        <v/>
      </c>
      <c r="D751" s="47"/>
      <c r="E751" s="52"/>
      <c r="F751" s="47"/>
      <c r="G751" s="36" t="e">
        <f ca="1">_xludf.IFNA(VLOOKUP(F751,'Category Setup'!B:D,3,0), "")</f>
        <v>#NAME?</v>
      </c>
      <c r="H751" s="47"/>
    </row>
    <row r="752" spans="2:8" ht="15.75" customHeight="1" x14ac:dyDescent="0.2">
      <c r="B752" s="38"/>
      <c r="C752" s="28" t="str">
        <f t="shared" si="2"/>
        <v/>
      </c>
      <c r="D752" s="38"/>
      <c r="E752" s="53"/>
      <c r="F752" s="38"/>
      <c r="G752" s="31" t="e">
        <f ca="1">_xludf.IFNA(VLOOKUP(F752,'Category Setup'!B:D,3,0), "")</f>
        <v>#NAME?</v>
      </c>
      <c r="H752" s="38"/>
    </row>
    <row r="753" spans="2:8" ht="15.75" customHeight="1" x14ac:dyDescent="0.2">
      <c r="B753" s="47"/>
      <c r="C753" s="34" t="str">
        <f t="shared" si="2"/>
        <v/>
      </c>
      <c r="D753" s="47"/>
      <c r="E753" s="52"/>
      <c r="F753" s="47"/>
      <c r="G753" s="36" t="e">
        <f ca="1">_xludf.IFNA(VLOOKUP(F753,'Category Setup'!B:D,3,0), "")</f>
        <v>#NAME?</v>
      </c>
      <c r="H753" s="47"/>
    </row>
    <row r="754" spans="2:8" ht="15.75" customHeight="1" x14ac:dyDescent="0.2">
      <c r="B754" s="38"/>
      <c r="C754" s="28" t="str">
        <f t="shared" si="2"/>
        <v/>
      </c>
      <c r="D754" s="38"/>
      <c r="E754" s="53"/>
      <c r="F754" s="38"/>
      <c r="G754" s="31" t="e">
        <f ca="1">_xludf.IFNA(VLOOKUP(F754,'Category Setup'!B:D,3,0), "")</f>
        <v>#NAME?</v>
      </c>
      <c r="H754" s="38"/>
    </row>
    <row r="755" spans="2:8" ht="15.75" customHeight="1" x14ac:dyDescent="0.2">
      <c r="B755" s="47"/>
      <c r="C755" s="34" t="str">
        <f t="shared" si="2"/>
        <v/>
      </c>
      <c r="D755" s="47"/>
      <c r="E755" s="52"/>
      <c r="F755" s="47"/>
      <c r="G755" s="36" t="e">
        <f ca="1">_xludf.IFNA(VLOOKUP(F755,'Category Setup'!B:D,3,0), "")</f>
        <v>#NAME?</v>
      </c>
      <c r="H755" s="47"/>
    </row>
    <row r="756" spans="2:8" ht="15.75" customHeight="1" x14ac:dyDescent="0.2">
      <c r="B756" s="38"/>
      <c r="C756" s="28" t="str">
        <f t="shared" si="2"/>
        <v/>
      </c>
      <c r="D756" s="38"/>
      <c r="E756" s="53"/>
      <c r="F756" s="38"/>
      <c r="G756" s="31" t="e">
        <f ca="1">_xludf.IFNA(VLOOKUP(F756,'Category Setup'!B:D,3,0), "")</f>
        <v>#NAME?</v>
      </c>
      <c r="H756" s="38"/>
    </row>
    <row r="757" spans="2:8" ht="15.75" customHeight="1" x14ac:dyDescent="0.2">
      <c r="B757" s="47"/>
      <c r="C757" s="34" t="str">
        <f t="shared" si="2"/>
        <v/>
      </c>
      <c r="D757" s="47"/>
      <c r="E757" s="52"/>
      <c r="F757" s="47"/>
      <c r="G757" s="36" t="e">
        <f ca="1">_xludf.IFNA(VLOOKUP(F757,'Category Setup'!B:D,3,0), "")</f>
        <v>#NAME?</v>
      </c>
      <c r="H757" s="47"/>
    </row>
    <row r="758" spans="2:8" ht="15.75" customHeight="1" x14ac:dyDescent="0.2">
      <c r="B758" s="38"/>
      <c r="C758" s="28" t="str">
        <f t="shared" si="2"/>
        <v/>
      </c>
      <c r="D758" s="38"/>
      <c r="E758" s="53"/>
      <c r="F758" s="38"/>
      <c r="G758" s="31" t="e">
        <f ca="1">_xludf.IFNA(VLOOKUP(F758,'Category Setup'!B:D,3,0), "")</f>
        <v>#NAME?</v>
      </c>
      <c r="H758" s="38"/>
    </row>
    <row r="759" spans="2:8" ht="15.75" customHeight="1" x14ac:dyDescent="0.2">
      <c r="B759" s="47"/>
      <c r="C759" s="34" t="str">
        <f t="shared" si="2"/>
        <v/>
      </c>
      <c r="D759" s="47"/>
      <c r="E759" s="52"/>
      <c r="F759" s="47"/>
      <c r="G759" s="36" t="e">
        <f ca="1">_xludf.IFNA(VLOOKUP(F759,'Category Setup'!B:D,3,0), "")</f>
        <v>#NAME?</v>
      </c>
      <c r="H759" s="47"/>
    </row>
    <row r="760" spans="2:8" ht="15.75" customHeight="1" x14ac:dyDescent="0.2">
      <c r="B760" s="38"/>
      <c r="C760" s="28" t="str">
        <f t="shared" si="2"/>
        <v/>
      </c>
      <c r="D760" s="38"/>
      <c r="E760" s="53"/>
      <c r="F760" s="38"/>
      <c r="G760" s="31" t="e">
        <f ca="1">_xludf.IFNA(VLOOKUP(F760,'Category Setup'!B:D,3,0), "")</f>
        <v>#NAME?</v>
      </c>
      <c r="H760" s="38"/>
    </row>
    <row r="761" spans="2:8" ht="15.75" customHeight="1" x14ac:dyDescent="0.2">
      <c r="B761" s="47"/>
      <c r="C761" s="34" t="str">
        <f t="shared" si="2"/>
        <v/>
      </c>
      <c r="D761" s="47"/>
      <c r="E761" s="52"/>
      <c r="F761" s="47"/>
      <c r="G761" s="36" t="e">
        <f ca="1">_xludf.IFNA(VLOOKUP(F761,'Category Setup'!B:D,3,0), "")</f>
        <v>#NAME?</v>
      </c>
      <c r="H761" s="47"/>
    </row>
    <row r="762" spans="2:8" ht="15.75" customHeight="1" x14ac:dyDescent="0.2">
      <c r="B762" s="38"/>
      <c r="C762" s="28" t="str">
        <f t="shared" si="2"/>
        <v/>
      </c>
      <c r="D762" s="38"/>
      <c r="E762" s="53"/>
      <c r="F762" s="38"/>
      <c r="G762" s="31" t="e">
        <f ca="1">_xludf.IFNA(VLOOKUP(F762,'Category Setup'!B:D,3,0), "")</f>
        <v>#NAME?</v>
      </c>
      <c r="H762" s="38"/>
    </row>
    <row r="763" spans="2:8" ht="15.75" customHeight="1" x14ac:dyDescent="0.2">
      <c r="B763" s="47"/>
      <c r="C763" s="34" t="str">
        <f t="shared" si="2"/>
        <v/>
      </c>
      <c r="D763" s="47"/>
      <c r="E763" s="52"/>
      <c r="F763" s="47"/>
      <c r="G763" s="36" t="e">
        <f ca="1">_xludf.IFNA(VLOOKUP(F763,'Category Setup'!B:D,3,0), "")</f>
        <v>#NAME?</v>
      </c>
      <c r="H763" s="47"/>
    </row>
    <row r="764" spans="2:8" ht="15.75" customHeight="1" x14ac:dyDescent="0.2">
      <c r="B764" s="38"/>
      <c r="C764" s="28" t="str">
        <f t="shared" si="2"/>
        <v/>
      </c>
      <c r="D764" s="38"/>
      <c r="E764" s="53"/>
      <c r="F764" s="38"/>
      <c r="G764" s="31" t="e">
        <f ca="1">_xludf.IFNA(VLOOKUP(F764,'Category Setup'!B:D,3,0), "")</f>
        <v>#NAME?</v>
      </c>
      <c r="H764" s="38"/>
    </row>
    <row r="765" spans="2:8" ht="15.75" customHeight="1" x14ac:dyDescent="0.2">
      <c r="B765" s="47"/>
      <c r="C765" s="34" t="str">
        <f t="shared" si="2"/>
        <v/>
      </c>
      <c r="D765" s="47"/>
      <c r="E765" s="52"/>
      <c r="F765" s="47"/>
      <c r="G765" s="36" t="e">
        <f ca="1">_xludf.IFNA(VLOOKUP(F765,'Category Setup'!B:D,3,0), "")</f>
        <v>#NAME?</v>
      </c>
      <c r="H765" s="47"/>
    </row>
    <row r="766" spans="2:8" ht="15.75" customHeight="1" x14ac:dyDescent="0.2">
      <c r="B766" s="38"/>
      <c r="C766" s="28" t="str">
        <f t="shared" si="2"/>
        <v/>
      </c>
      <c r="D766" s="38"/>
      <c r="E766" s="53"/>
      <c r="F766" s="38"/>
      <c r="G766" s="31" t="e">
        <f ca="1">_xludf.IFNA(VLOOKUP(F766,'Category Setup'!B:D,3,0), "")</f>
        <v>#NAME?</v>
      </c>
      <c r="H766" s="38"/>
    </row>
    <row r="767" spans="2:8" ht="15.75" customHeight="1" x14ac:dyDescent="0.2">
      <c r="B767" s="47"/>
      <c r="C767" s="34" t="str">
        <f t="shared" si="2"/>
        <v/>
      </c>
      <c r="D767" s="47"/>
      <c r="E767" s="52"/>
      <c r="F767" s="47"/>
      <c r="G767" s="36" t="e">
        <f ca="1">_xludf.IFNA(VLOOKUP(F767,'Category Setup'!B:D,3,0), "")</f>
        <v>#NAME?</v>
      </c>
      <c r="H767" s="47"/>
    </row>
    <row r="768" spans="2:8" ht="15.75" customHeight="1" x14ac:dyDescent="0.2">
      <c r="B768" s="38"/>
      <c r="C768" s="28" t="str">
        <f t="shared" si="2"/>
        <v/>
      </c>
      <c r="D768" s="38"/>
      <c r="E768" s="53"/>
      <c r="F768" s="38"/>
      <c r="G768" s="31" t="e">
        <f ca="1">_xludf.IFNA(VLOOKUP(F768,'Category Setup'!B:D,3,0), "")</f>
        <v>#NAME?</v>
      </c>
      <c r="H768" s="38"/>
    </row>
    <row r="769" spans="2:8" ht="15.75" customHeight="1" x14ac:dyDescent="0.2">
      <c r="B769" s="47"/>
      <c r="C769" s="34" t="str">
        <f t="shared" si="2"/>
        <v/>
      </c>
      <c r="D769" s="47"/>
      <c r="E769" s="52"/>
      <c r="F769" s="47"/>
      <c r="G769" s="36" t="e">
        <f ca="1">_xludf.IFNA(VLOOKUP(F769,'Category Setup'!B:D,3,0), "")</f>
        <v>#NAME?</v>
      </c>
      <c r="H769" s="47"/>
    </row>
    <row r="770" spans="2:8" ht="15.75" customHeight="1" x14ac:dyDescent="0.2">
      <c r="B770" s="38"/>
      <c r="C770" s="28" t="str">
        <f t="shared" si="2"/>
        <v/>
      </c>
      <c r="D770" s="38"/>
      <c r="E770" s="53"/>
      <c r="F770" s="38"/>
      <c r="G770" s="31" t="e">
        <f ca="1">_xludf.IFNA(VLOOKUP(F770,'Category Setup'!B:D,3,0), "")</f>
        <v>#NAME?</v>
      </c>
      <c r="H770" s="38"/>
    </row>
    <row r="771" spans="2:8" ht="15.75" customHeight="1" x14ac:dyDescent="0.2">
      <c r="B771" s="47"/>
      <c r="C771" s="34" t="str">
        <f t="shared" ref="C771:C997" si="3">IF(B771="", "", TEXT(B771, "MMM YY"))</f>
        <v/>
      </c>
      <c r="D771" s="47"/>
      <c r="E771" s="52"/>
      <c r="F771" s="47"/>
      <c r="G771" s="36" t="e">
        <f ca="1">_xludf.IFNA(VLOOKUP(F771,'Category Setup'!B:D,3,0), "")</f>
        <v>#NAME?</v>
      </c>
      <c r="H771" s="47"/>
    </row>
    <row r="772" spans="2:8" ht="15.75" customHeight="1" x14ac:dyDescent="0.2">
      <c r="B772" s="38"/>
      <c r="C772" s="28" t="str">
        <f t="shared" si="3"/>
        <v/>
      </c>
      <c r="D772" s="38"/>
      <c r="E772" s="53"/>
      <c r="F772" s="38"/>
      <c r="G772" s="31" t="e">
        <f ca="1">_xludf.IFNA(VLOOKUP(F772,'Category Setup'!B:D,3,0), "")</f>
        <v>#NAME?</v>
      </c>
      <c r="H772" s="38"/>
    </row>
    <row r="773" spans="2:8" ht="15.75" customHeight="1" x14ac:dyDescent="0.2">
      <c r="B773" s="47"/>
      <c r="C773" s="34" t="str">
        <f t="shared" si="3"/>
        <v/>
      </c>
      <c r="D773" s="47"/>
      <c r="E773" s="52"/>
      <c r="F773" s="47"/>
      <c r="G773" s="36" t="e">
        <f ca="1">_xludf.IFNA(VLOOKUP(F773,'Category Setup'!B:D,3,0), "")</f>
        <v>#NAME?</v>
      </c>
      <c r="H773" s="47"/>
    </row>
    <row r="774" spans="2:8" ht="15.75" customHeight="1" x14ac:dyDescent="0.2">
      <c r="B774" s="38"/>
      <c r="C774" s="28" t="str">
        <f t="shared" si="3"/>
        <v/>
      </c>
      <c r="D774" s="38"/>
      <c r="E774" s="53"/>
      <c r="F774" s="38"/>
      <c r="G774" s="31" t="e">
        <f ca="1">_xludf.IFNA(VLOOKUP(F774,'Category Setup'!B:D,3,0), "")</f>
        <v>#NAME?</v>
      </c>
      <c r="H774" s="38"/>
    </row>
    <row r="775" spans="2:8" ht="15.75" customHeight="1" x14ac:dyDescent="0.2">
      <c r="B775" s="47"/>
      <c r="C775" s="34" t="str">
        <f t="shared" si="3"/>
        <v/>
      </c>
      <c r="D775" s="47"/>
      <c r="E775" s="52"/>
      <c r="F775" s="47"/>
      <c r="G775" s="36" t="e">
        <f ca="1">_xludf.IFNA(VLOOKUP(F775,'Category Setup'!B:D,3,0), "")</f>
        <v>#NAME?</v>
      </c>
      <c r="H775" s="47"/>
    </row>
    <row r="776" spans="2:8" ht="15.75" customHeight="1" x14ac:dyDescent="0.2">
      <c r="B776" s="38"/>
      <c r="C776" s="28" t="str">
        <f t="shared" si="3"/>
        <v/>
      </c>
      <c r="D776" s="38"/>
      <c r="E776" s="53"/>
      <c r="F776" s="38"/>
      <c r="G776" s="31" t="e">
        <f ca="1">_xludf.IFNA(VLOOKUP(F776,'Category Setup'!B:D,3,0), "")</f>
        <v>#NAME?</v>
      </c>
      <c r="H776" s="38"/>
    </row>
    <row r="777" spans="2:8" ht="15.75" customHeight="1" x14ac:dyDescent="0.2">
      <c r="B777" s="47"/>
      <c r="C777" s="34" t="str">
        <f t="shared" si="3"/>
        <v/>
      </c>
      <c r="D777" s="47"/>
      <c r="E777" s="52"/>
      <c r="F777" s="47"/>
      <c r="G777" s="36" t="e">
        <f ca="1">_xludf.IFNA(VLOOKUP(F777,'Category Setup'!B:D,3,0), "")</f>
        <v>#NAME?</v>
      </c>
      <c r="H777" s="47"/>
    </row>
    <row r="778" spans="2:8" ht="15.75" customHeight="1" x14ac:dyDescent="0.2">
      <c r="B778" s="38"/>
      <c r="C778" s="28" t="str">
        <f t="shared" si="3"/>
        <v/>
      </c>
      <c r="D778" s="38"/>
      <c r="E778" s="53"/>
      <c r="F778" s="38"/>
      <c r="G778" s="31" t="e">
        <f ca="1">_xludf.IFNA(VLOOKUP(F778,'Category Setup'!B:D,3,0), "")</f>
        <v>#NAME?</v>
      </c>
      <c r="H778" s="38"/>
    </row>
    <row r="779" spans="2:8" ht="15.75" customHeight="1" x14ac:dyDescent="0.2">
      <c r="B779" s="47"/>
      <c r="C779" s="34" t="str">
        <f t="shared" si="3"/>
        <v/>
      </c>
      <c r="D779" s="47"/>
      <c r="E779" s="52"/>
      <c r="F779" s="47"/>
      <c r="G779" s="36" t="e">
        <f ca="1">_xludf.IFNA(VLOOKUP(F779,'Category Setup'!B:D,3,0), "")</f>
        <v>#NAME?</v>
      </c>
      <c r="H779" s="47"/>
    </row>
    <row r="780" spans="2:8" ht="15.75" customHeight="1" x14ac:dyDescent="0.2">
      <c r="B780" s="38"/>
      <c r="C780" s="28" t="str">
        <f t="shared" si="3"/>
        <v/>
      </c>
      <c r="D780" s="38"/>
      <c r="E780" s="53"/>
      <c r="F780" s="38"/>
      <c r="G780" s="31" t="e">
        <f ca="1">_xludf.IFNA(VLOOKUP(F780,'Category Setup'!B:D,3,0), "")</f>
        <v>#NAME?</v>
      </c>
      <c r="H780" s="38"/>
    </row>
    <row r="781" spans="2:8" ht="15.75" customHeight="1" x14ac:dyDescent="0.2">
      <c r="B781" s="47"/>
      <c r="C781" s="34" t="str">
        <f t="shared" si="3"/>
        <v/>
      </c>
      <c r="D781" s="47"/>
      <c r="E781" s="52"/>
      <c r="F781" s="47"/>
      <c r="G781" s="36" t="e">
        <f ca="1">_xludf.IFNA(VLOOKUP(F781,'Category Setup'!B:D,3,0), "")</f>
        <v>#NAME?</v>
      </c>
      <c r="H781" s="47"/>
    </row>
    <row r="782" spans="2:8" ht="15.75" customHeight="1" x14ac:dyDescent="0.2">
      <c r="B782" s="38"/>
      <c r="C782" s="28" t="str">
        <f t="shared" si="3"/>
        <v/>
      </c>
      <c r="D782" s="38"/>
      <c r="E782" s="53"/>
      <c r="F782" s="38"/>
      <c r="G782" s="31" t="e">
        <f ca="1">_xludf.IFNA(VLOOKUP(F782,'Category Setup'!B:D,3,0), "")</f>
        <v>#NAME?</v>
      </c>
      <c r="H782" s="38"/>
    </row>
    <row r="783" spans="2:8" ht="15.75" customHeight="1" x14ac:dyDescent="0.2">
      <c r="B783" s="47"/>
      <c r="C783" s="34" t="str">
        <f t="shared" si="3"/>
        <v/>
      </c>
      <c r="D783" s="47"/>
      <c r="E783" s="52"/>
      <c r="F783" s="47"/>
      <c r="G783" s="36" t="e">
        <f ca="1">_xludf.IFNA(VLOOKUP(F783,'Category Setup'!B:D,3,0), "")</f>
        <v>#NAME?</v>
      </c>
      <c r="H783" s="47"/>
    </row>
    <row r="784" spans="2:8" ht="15.75" customHeight="1" x14ac:dyDescent="0.2">
      <c r="B784" s="38"/>
      <c r="C784" s="28" t="str">
        <f t="shared" si="3"/>
        <v/>
      </c>
      <c r="D784" s="38"/>
      <c r="E784" s="53"/>
      <c r="F784" s="38"/>
      <c r="G784" s="31" t="e">
        <f ca="1">_xludf.IFNA(VLOOKUP(F784,'Category Setup'!B:D,3,0), "")</f>
        <v>#NAME?</v>
      </c>
      <c r="H784" s="38"/>
    </row>
    <row r="785" spans="2:8" ht="15.75" customHeight="1" x14ac:dyDescent="0.2">
      <c r="B785" s="47"/>
      <c r="C785" s="34" t="str">
        <f t="shared" si="3"/>
        <v/>
      </c>
      <c r="D785" s="47"/>
      <c r="E785" s="52"/>
      <c r="F785" s="47"/>
      <c r="G785" s="36" t="e">
        <f ca="1">_xludf.IFNA(VLOOKUP(F785,'Category Setup'!B:D,3,0), "")</f>
        <v>#NAME?</v>
      </c>
      <c r="H785" s="47"/>
    </row>
    <row r="786" spans="2:8" ht="15.75" customHeight="1" x14ac:dyDescent="0.2">
      <c r="B786" s="38"/>
      <c r="C786" s="28" t="str">
        <f t="shared" si="3"/>
        <v/>
      </c>
      <c r="D786" s="38"/>
      <c r="E786" s="53"/>
      <c r="F786" s="38"/>
      <c r="G786" s="31" t="e">
        <f ca="1">_xludf.IFNA(VLOOKUP(F786,'Category Setup'!B:D,3,0), "")</f>
        <v>#NAME?</v>
      </c>
      <c r="H786" s="38"/>
    </row>
    <row r="787" spans="2:8" ht="15.75" customHeight="1" x14ac:dyDescent="0.2">
      <c r="B787" s="47"/>
      <c r="C787" s="34" t="str">
        <f t="shared" si="3"/>
        <v/>
      </c>
      <c r="D787" s="47"/>
      <c r="E787" s="52"/>
      <c r="F787" s="47"/>
      <c r="G787" s="36" t="e">
        <f ca="1">_xludf.IFNA(VLOOKUP(F787,'Category Setup'!B:D,3,0), "")</f>
        <v>#NAME?</v>
      </c>
      <c r="H787" s="47"/>
    </row>
    <row r="788" spans="2:8" ht="15.75" customHeight="1" x14ac:dyDescent="0.2">
      <c r="B788" s="38"/>
      <c r="C788" s="28" t="str">
        <f t="shared" si="3"/>
        <v/>
      </c>
      <c r="D788" s="38"/>
      <c r="E788" s="53"/>
      <c r="F788" s="38"/>
      <c r="G788" s="31" t="e">
        <f ca="1">_xludf.IFNA(VLOOKUP(F788,'Category Setup'!B:D,3,0), "")</f>
        <v>#NAME?</v>
      </c>
      <c r="H788" s="38"/>
    </row>
    <row r="789" spans="2:8" ht="15.75" customHeight="1" x14ac:dyDescent="0.2">
      <c r="B789" s="47"/>
      <c r="C789" s="34" t="str">
        <f t="shared" si="3"/>
        <v/>
      </c>
      <c r="D789" s="47"/>
      <c r="E789" s="52"/>
      <c r="F789" s="47"/>
      <c r="G789" s="36" t="e">
        <f ca="1">_xludf.IFNA(VLOOKUP(F789,'Category Setup'!B:D,3,0), "")</f>
        <v>#NAME?</v>
      </c>
      <c r="H789" s="47"/>
    </row>
    <row r="790" spans="2:8" ht="15.75" customHeight="1" x14ac:dyDescent="0.2">
      <c r="B790" s="38"/>
      <c r="C790" s="28" t="str">
        <f t="shared" si="3"/>
        <v/>
      </c>
      <c r="D790" s="38"/>
      <c r="E790" s="53"/>
      <c r="F790" s="38"/>
      <c r="G790" s="31" t="e">
        <f ca="1">_xludf.IFNA(VLOOKUP(F790,'Category Setup'!B:D,3,0), "")</f>
        <v>#NAME?</v>
      </c>
      <c r="H790" s="38"/>
    </row>
    <row r="791" spans="2:8" ht="15.75" customHeight="1" x14ac:dyDescent="0.2">
      <c r="B791" s="47"/>
      <c r="C791" s="34" t="str">
        <f t="shared" si="3"/>
        <v/>
      </c>
      <c r="D791" s="47"/>
      <c r="E791" s="52"/>
      <c r="F791" s="47"/>
      <c r="G791" s="36" t="e">
        <f ca="1">_xludf.IFNA(VLOOKUP(F791,'Category Setup'!B:D,3,0), "")</f>
        <v>#NAME?</v>
      </c>
      <c r="H791" s="47"/>
    </row>
    <row r="792" spans="2:8" ht="15.75" customHeight="1" x14ac:dyDescent="0.2">
      <c r="B792" s="38"/>
      <c r="C792" s="28" t="str">
        <f t="shared" si="3"/>
        <v/>
      </c>
      <c r="D792" s="38"/>
      <c r="E792" s="53"/>
      <c r="F792" s="38"/>
      <c r="G792" s="31" t="e">
        <f ca="1">_xludf.IFNA(VLOOKUP(F792,'Category Setup'!B:D,3,0), "")</f>
        <v>#NAME?</v>
      </c>
      <c r="H792" s="38"/>
    </row>
    <row r="793" spans="2:8" ht="15.75" customHeight="1" x14ac:dyDescent="0.2">
      <c r="B793" s="47"/>
      <c r="C793" s="34" t="str">
        <f t="shared" si="3"/>
        <v/>
      </c>
      <c r="D793" s="47"/>
      <c r="E793" s="52"/>
      <c r="F793" s="47"/>
      <c r="G793" s="36" t="e">
        <f ca="1">_xludf.IFNA(VLOOKUP(F793,'Category Setup'!B:D,3,0), "")</f>
        <v>#NAME?</v>
      </c>
      <c r="H793" s="47"/>
    </row>
    <row r="794" spans="2:8" ht="15.75" customHeight="1" x14ac:dyDescent="0.2">
      <c r="B794" s="38"/>
      <c r="C794" s="28" t="str">
        <f t="shared" si="3"/>
        <v/>
      </c>
      <c r="D794" s="38"/>
      <c r="E794" s="53"/>
      <c r="F794" s="38"/>
      <c r="G794" s="31" t="e">
        <f ca="1">_xludf.IFNA(VLOOKUP(F794,'Category Setup'!B:D,3,0), "")</f>
        <v>#NAME?</v>
      </c>
      <c r="H794" s="38"/>
    </row>
    <row r="795" spans="2:8" ht="15.75" customHeight="1" x14ac:dyDescent="0.2">
      <c r="B795" s="47"/>
      <c r="C795" s="34" t="str">
        <f t="shared" si="3"/>
        <v/>
      </c>
      <c r="D795" s="47"/>
      <c r="E795" s="52"/>
      <c r="F795" s="47"/>
      <c r="G795" s="36" t="e">
        <f ca="1">_xludf.IFNA(VLOOKUP(F795,'Category Setup'!B:D,3,0), "")</f>
        <v>#NAME?</v>
      </c>
      <c r="H795" s="47"/>
    </row>
    <row r="796" spans="2:8" ht="15.75" customHeight="1" x14ac:dyDescent="0.2">
      <c r="B796" s="38"/>
      <c r="C796" s="28" t="str">
        <f t="shared" si="3"/>
        <v/>
      </c>
      <c r="D796" s="38"/>
      <c r="E796" s="53"/>
      <c r="F796" s="38"/>
      <c r="G796" s="31" t="e">
        <f ca="1">_xludf.IFNA(VLOOKUP(F796,'Category Setup'!B:D,3,0), "")</f>
        <v>#NAME?</v>
      </c>
      <c r="H796" s="38"/>
    </row>
    <row r="797" spans="2:8" ht="15.75" customHeight="1" x14ac:dyDescent="0.2">
      <c r="B797" s="47"/>
      <c r="C797" s="34" t="str">
        <f t="shared" si="3"/>
        <v/>
      </c>
      <c r="D797" s="47"/>
      <c r="E797" s="52"/>
      <c r="F797" s="47"/>
      <c r="G797" s="36" t="e">
        <f ca="1">_xludf.IFNA(VLOOKUP(F797,'Category Setup'!B:D,3,0), "")</f>
        <v>#NAME?</v>
      </c>
      <c r="H797" s="47"/>
    </row>
    <row r="798" spans="2:8" ht="15.75" customHeight="1" x14ac:dyDescent="0.2">
      <c r="B798" s="38"/>
      <c r="C798" s="28" t="str">
        <f t="shared" si="3"/>
        <v/>
      </c>
      <c r="D798" s="38"/>
      <c r="E798" s="53"/>
      <c r="F798" s="38"/>
      <c r="G798" s="31" t="e">
        <f ca="1">_xludf.IFNA(VLOOKUP(F798,'Category Setup'!B:D,3,0), "")</f>
        <v>#NAME?</v>
      </c>
      <c r="H798" s="38"/>
    </row>
    <row r="799" spans="2:8" ht="15.75" customHeight="1" x14ac:dyDescent="0.2">
      <c r="B799" s="47"/>
      <c r="C799" s="34" t="str">
        <f t="shared" si="3"/>
        <v/>
      </c>
      <c r="D799" s="47"/>
      <c r="E799" s="52"/>
      <c r="F799" s="47"/>
      <c r="G799" s="36" t="e">
        <f ca="1">_xludf.IFNA(VLOOKUP(F799,'Category Setup'!B:D,3,0), "")</f>
        <v>#NAME?</v>
      </c>
      <c r="H799" s="47"/>
    </row>
    <row r="800" spans="2:8" ht="15.75" customHeight="1" x14ac:dyDescent="0.2">
      <c r="B800" s="38"/>
      <c r="C800" s="28" t="str">
        <f t="shared" si="3"/>
        <v/>
      </c>
      <c r="D800" s="38"/>
      <c r="E800" s="53"/>
      <c r="F800" s="38"/>
      <c r="G800" s="31" t="e">
        <f ca="1">_xludf.IFNA(VLOOKUP(F800,'Category Setup'!B:D,3,0), "")</f>
        <v>#NAME?</v>
      </c>
      <c r="H800" s="38"/>
    </row>
    <row r="801" spans="2:8" ht="15.75" customHeight="1" x14ac:dyDescent="0.2">
      <c r="B801" s="47"/>
      <c r="C801" s="34" t="str">
        <f t="shared" si="3"/>
        <v/>
      </c>
      <c r="D801" s="47"/>
      <c r="E801" s="52"/>
      <c r="F801" s="47"/>
      <c r="G801" s="36" t="e">
        <f ca="1">_xludf.IFNA(VLOOKUP(F801,'Category Setup'!B:D,3,0), "")</f>
        <v>#NAME?</v>
      </c>
      <c r="H801" s="47"/>
    </row>
    <row r="802" spans="2:8" ht="15.75" customHeight="1" x14ac:dyDescent="0.2">
      <c r="B802" s="38"/>
      <c r="C802" s="28" t="str">
        <f t="shared" si="3"/>
        <v/>
      </c>
      <c r="D802" s="38"/>
      <c r="E802" s="53"/>
      <c r="F802" s="38"/>
      <c r="G802" s="31" t="e">
        <f ca="1">_xludf.IFNA(VLOOKUP(F802,'Category Setup'!B:D,3,0), "")</f>
        <v>#NAME?</v>
      </c>
      <c r="H802" s="38"/>
    </row>
    <row r="803" spans="2:8" ht="15.75" customHeight="1" x14ac:dyDescent="0.2">
      <c r="B803" s="47"/>
      <c r="C803" s="34" t="str">
        <f t="shared" si="3"/>
        <v/>
      </c>
      <c r="D803" s="47"/>
      <c r="E803" s="52"/>
      <c r="F803" s="47"/>
      <c r="G803" s="36" t="e">
        <f ca="1">_xludf.IFNA(VLOOKUP(F803,'Category Setup'!B:D,3,0), "")</f>
        <v>#NAME?</v>
      </c>
      <c r="H803" s="47"/>
    </row>
    <row r="804" spans="2:8" ht="15.75" customHeight="1" x14ac:dyDescent="0.2">
      <c r="B804" s="38"/>
      <c r="C804" s="28" t="str">
        <f t="shared" si="3"/>
        <v/>
      </c>
      <c r="D804" s="38"/>
      <c r="E804" s="53"/>
      <c r="F804" s="38"/>
      <c r="G804" s="31" t="e">
        <f ca="1">_xludf.IFNA(VLOOKUP(F804,'Category Setup'!B:D,3,0), "")</f>
        <v>#NAME?</v>
      </c>
      <c r="H804" s="38"/>
    </row>
    <row r="805" spans="2:8" ht="15.75" customHeight="1" x14ac:dyDescent="0.2">
      <c r="B805" s="47"/>
      <c r="C805" s="34" t="str">
        <f t="shared" si="3"/>
        <v/>
      </c>
      <c r="D805" s="47"/>
      <c r="E805" s="52"/>
      <c r="F805" s="47"/>
      <c r="G805" s="36" t="e">
        <f ca="1">_xludf.IFNA(VLOOKUP(F805,'Category Setup'!B:D,3,0), "")</f>
        <v>#NAME?</v>
      </c>
      <c r="H805" s="47"/>
    </row>
    <row r="806" spans="2:8" ht="15.75" customHeight="1" x14ac:dyDescent="0.2">
      <c r="B806" s="38"/>
      <c r="C806" s="28" t="str">
        <f t="shared" si="3"/>
        <v/>
      </c>
      <c r="D806" s="38"/>
      <c r="E806" s="53"/>
      <c r="F806" s="38"/>
      <c r="G806" s="31" t="e">
        <f ca="1">_xludf.IFNA(VLOOKUP(F806,'Category Setup'!B:D,3,0), "")</f>
        <v>#NAME?</v>
      </c>
      <c r="H806" s="38"/>
    </row>
    <row r="807" spans="2:8" ht="15.75" customHeight="1" x14ac:dyDescent="0.2">
      <c r="B807" s="47"/>
      <c r="C807" s="34" t="str">
        <f t="shared" si="3"/>
        <v/>
      </c>
      <c r="D807" s="47"/>
      <c r="E807" s="52"/>
      <c r="F807" s="47"/>
      <c r="G807" s="36" t="e">
        <f ca="1">_xludf.IFNA(VLOOKUP(F807,'Category Setup'!B:D,3,0), "")</f>
        <v>#NAME?</v>
      </c>
      <c r="H807" s="47"/>
    </row>
    <row r="808" spans="2:8" ht="15.75" customHeight="1" x14ac:dyDescent="0.2">
      <c r="B808" s="38"/>
      <c r="C808" s="28" t="str">
        <f t="shared" si="3"/>
        <v/>
      </c>
      <c r="D808" s="38"/>
      <c r="E808" s="53"/>
      <c r="F808" s="38"/>
      <c r="G808" s="31" t="e">
        <f ca="1">_xludf.IFNA(VLOOKUP(F808,'Category Setup'!B:D,3,0), "")</f>
        <v>#NAME?</v>
      </c>
      <c r="H808" s="38"/>
    </row>
    <row r="809" spans="2:8" ht="15.75" customHeight="1" x14ac:dyDescent="0.2">
      <c r="B809" s="47"/>
      <c r="C809" s="34" t="str">
        <f t="shared" si="3"/>
        <v/>
      </c>
      <c r="D809" s="47"/>
      <c r="E809" s="52"/>
      <c r="F809" s="47"/>
      <c r="G809" s="36" t="e">
        <f ca="1">_xludf.IFNA(VLOOKUP(F809,'Category Setup'!B:D,3,0), "")</f>
        <v>#NAME?</v>
      </c>
      <c r="H809" s="47"/>
    </row>
    <row r="810" spans="2:8" ht="15.75" customHeight="1" x14ac:dyDescent="0.2">
      <c r="B810" s="38"/>
      <c r="C810" s="28" t="str">
        <f t="shared" si="3"/>
        <v/>
      </c>
      <c r="D810" s="38"/>
      <c r="E810" s="53"/>
      <c r="F810" s="38"/>
      <c r="G810" s="31" t="e">
        <f ca="1">_xludf.IFNA(VLOOKUP(F810,'Category Setup'!B:D,3,0), "")</f>
        <v>#NAME?</v>
      </c>
      <c r="H810" s="38"/>
    </row>
    <row r="811" spans="2:8" ht="15.75" customHeight="1" x14ac:dyDescent="0.2">
      <c r="B811" s="47"/>
      <c r="C811" s="34" t="str">
        <f t="shared" si="3"/>
        <v/>
      </c>
      <c r="D811" s="47"/>
      <c r="E811" s="52"/>
      <c r="F811" s="47"/>
      <c r="G811" s="36" t="e">
        <f ca="1">_xludf.IFNA(VLOOKUP(F811,'Category Setup'!B:D,3,0), "")</f>
        <v>#NAME?</v>
      </c>
      <c r="H811" s="47"/>
    </row>
    <row r="812" spans="2:8" ht="15.75" customHeight="1" x14ac:dyDescent="0.2">
      <c r="B812" s="38"/>
      <c r="C812" s="28" t="str">
        <f t="shared" si="3"/>
        <v/>
      </c>
      <c r="D812" s="38"/>
      <c r="E812" s="53"/>
      <c r="F812" s="38"/>
      <c r="G812" s="31" t="e">
        <f ca="1">_xludf.IFNA(VLOOKUP(F812,'Category Setup'!B:D,3,0), "")</f>
        <v>#NAME?</v>
      </c>
      <c r="H812" s="38"/>
    </row>
    <row r="813" spans="2:8" ht="15.75" customHeight="1" x14ac:dyDescent="0.2">
      <c r="B813" s="47"/>
      <c r="C813" s="34" t="str">
        <f t="shared" si="3"/>
        <v/>
      </c>
      <c r="D813" s="47"/>
      <c r="E813" s="52"/>
      <c r="F813" s="47"/>
      <c r="G813" s="36" t="e">
        <f ca="1">_xludf.IFNA(VLOOKUP(F813,'Category Setup'!B:D,3,0), "")</f>
        <v>#NAME?</v>
      </c>
      <c r="H813" s="47"/>
    </row>
    <row r="814" spans="2:8" ht="15.75" customHeight="1" x14ac:dyDescent="0.2">
      <c r="B814" s="38"/>
      <c r="C814" s="28" t="str">
        <f t="shared" si="3"/>
        <v/>
      </c>
      <c r="D814" s="38"/>
      <c r="E814" s="53"/>
      <c r="F814" s="38"/>
      <c r="G814" s="31" t="e">
        <f ca="1">_xludf.IFNA(VLOOKUP(F814,'Category Setup'!B:D,3,0), "")</f>
        <v>#NAME?</v>
      </c>
      <c r="H814" s="38"/>
    </row>
    <row r="815" spans="2:8" ht="15.75" customHeight="1" x14ac:dyDescent="0.2">
      <c r="B815" s="47"/>
      <c r="C815" s="34" t="str">
        <f t="shared" si="3"/>
        <v/>
      </c>
      <c r="D815" s="47"/>
      <c r="E815" s="52"/>
      <c r="F815" s="47"/>
      <c r="G815" s="36" t="e">
        <f ca="1">_xludf.IFNA(VLOOKUP(F815,'Category Setup'!B:D,3,0), "")</f>
        <v>#NAME?</v>
      </c>
      <c r="H815" s="47"/>
    </row>
    <row r="816" spans="2:8" ht="15.75" customHeight="1" x14ac:dyDescent="0.2">
      <c r="B816" s="38"/>
      <c r="C816" s="28" t="str">
        <f t="shared" si="3"/>
        <v/>
      </c>
      <c r="D816" s="38"/>
      <c r="E816" s="53"/>
      <c r="F816" s="38"/>
      <c r="G816" s="31" t="e">
        <f ca="1">_xludf.IFNA(VLOOKUP(F816,'Category Setup'!B:D,3,0), "")</f>
        <v>#NAME?</v>
      </c>
      <c r="H816" s="38"/>
    </row>
    <row r="817" spans="2:8" ht="15.75" customHeight="1" x14ac:dyDescent="0.2">
      <c r="B817" s="47"/>
      <c r="C817" s="34" t="str">
        <f t="shared" si="3"/>
        <v/>
      </c>
      <c r="D817" s="47"/>
      <c r="E817" s="52"/>
      <c r="F817" s="47"/>
      <c r="G817" s="36" t="e">
        <f ca="1">_xludf.IFNA(VLOOKUP(F817,'Category Setup'!B:D,3,0), "")</f>
        <v>#NAME?</v>
      </c>
      <c r="H817" s="47"/>
    </row>
    <row r="818" spans="2:8" ht="15.75" customHeight="1" x14ac:dyDescent="0.2">
      <c r="B818" s="38"/>
      <c r="C818" s="28" t="str">
        <f t="shared" si="3"/>
        <v/>
      </c>
      <c r="D818" s="38"/>
      <c r="E818" s="53"/>
      <c r="F818" s="38"/>
      <c r="G818" s="31" t="e">
        <f ca="1">_xludf.IFNA(VLOOKUP(F818,'Category Setup'!B:D,3,0), "")</f>
        <v>#NAME?</v>
      </c>
      <c r="H818" s="38"/>
    </row>
    <row r="819" spans="2:8" ht="15.75" customHeight="1" x14ac:dyDescent="0.2">
      <c r="B819" s="47"/>
      <c r="C819" s="34" t="str">
        <f t="shared" si="3"/>
        <v/>
      </c>
      <c r="D819" s="47"/>
      <c r="E819" s="52"/>
      <c r="F819" s="47"/>
      <c r="G819" s="36" t="e">
        <f ca="1">_xludf.IFNA(VLOOKUP(F819,'Category Setup'!B:D,3,0), "")</f>
        <v>#NAME?</v>
      </c>
      <c r="H819" s="47"/>
    </row>
    <row r="820" spans="2:8" ht="15.75" customHeight="1" x14ac:dyDescent="0.2">
      <c r="B820" s="38"/>
      <c r="C820" s="28" t="str">
        <f t="shared" si="3"/>
        <v/>
      </c>
      <c r="D820" s="38"/>
      <c r="E820" s="53"/>
      <c r="F820" s="38"/>
      <c r="G820" s="31" t="e">
        <f ca="1">_xludf.IFNA(VLOOKUP(F820,'Category Setup'!B:D,3,0), "")</f>
        <v>#NAME?</v>
      </c>
      <c r="H820" s="38"/>
    </row>
    <row r="821" spans="2:8" ht="15.75" customHeight="1" x14ac:dyDescent="0.2">
      <c r="B821" s="47"/>
      <c r="C821" s="34" t="str">
        <f t="shared" si="3"/>
        <v/>
      </c>
      <c r="D821" s="47"/>
      <c r="E821" s="52"/>
      <c r="F821" s="47"/>
      <c r="G821" s="36" t="e">
        <f ca="1">_xludf.IFNA(VLOOKUP(F821,'Category Setup'!B:D,3,0), "")</f>
        <v>#NAME?</v>
      </c>
      <c r="H821" s="47"/>
    </row>
    <row r="822" spans="2:8" ht="15.75" customHeight="1" x14ac:dyDescent="0.2">
      <c r="B822" s="38"/>
      <c r="C822" s="28" t="str">
        <f t="shared" si="3"/>
        <v/>
      </c>
      <c r="D822" s="38"/>
      <c r="E822" s="53"/>
      <c r="F822" s="38"/>
      <c r="G822" s="31" t="e">
        <f ca="1">_xludf.IFNA(VLOOKUP(F822,'Category Setup'!B:D,3,0), "")</f>
        <v>#NAME?</v>
      </c>
      <c r="H822" s="38"/>
    </row>
    <row r="823" spans="2:8" ht="15.75" customHeight="1" x14ac:dyDescent="0.2">
      <c r="B823" s="47"/>
      <c r="C823" s="34" t="str">
        <f t="shared" si="3"/>
        <v/>
      </c>
      <c r="D823" s="47"/>
      <c r="E823" s="52"/>
      <c r="F823" s="47"/>
      <c r="G823" s="36" t="e">
        <f ca="1">_xludf.IFNA(VLOOKUP(F823,'Category Setup'!B:D,3,0), "")</f>
        <v>#NAME?</v>
      </c>
      <c r="H823" s="47"/>
    </row>
    <row r="824" spans="2:8" ht="15.75" customHeight="1" x14ac:dyDescent="0.2">
      <c r="B824" s="38"/>
      <c r="C824" s="28" t="str">
        <f t="shared" si="3"/>
        <v/>
      </c>
      <c r="D824" s="38"/>
      <c r="E824" s="53"/>
      <c r="F824" s="38"/>
      <c r="G824" s="31" t="e">
        <f ca="1">_xludf.IFNA(VLOOKUP(F824,'Category Setup'!B:D,3,0), "")</f>
        <v>#NAME?</v>
      </c>
      <c r="H824" s="38"/>
    </row>
    <row r="825" spans="2:8" ht="15.75" customHeight="1" x14ac:dyDescent="0.2">
      <c r="B825" s="47"/>
      <c r="C825" s="34" t="str">
        <f t="shared" si="3"/>
        <v/>
      </c>
      <c r="D825" s="47"/>
      <c r="E825" s="52"/>
      <c r="F825" s="47"/>
      <c r="G825" s="36" t="e">
        <f ca="1">_xludf.IFNA(VLOOKUP(F825,'Category Setup'!B:D,3,0), "")</f>
        <v>#NAME?</v>
      </c>
      <c r="H825" s="47"/>
    </row>
    <row r="826" spans="2:8" ht="15.75" customHeight="1" x14ac:dyDescent="0.2">
      <c r="B826" s="38"/>
      <c r="C826" s="28" t="str">
        <f t="shared" si="3"/>
        <v/>
      </c>
      <c r="D826" s="38"/>
      <c r="E826" s="53"/>
      <c r="F826" s="38"/>
      <c r="G826" s="31" t="e">
        <f ca="1">_xludf.IFNA(VLOOKUP(F826,'Category Setup'!B:D,3,0), "")</f>
        <v>#NAME?</v>
      </c>
      <c r="H826" s="38"/>
    </row>
    <row r="827" spans="2:8" ht="15.75" customHeight="1" x14ac:dyDescent="0.2">
      <c r="B827" s="47"/>
      <c r="C827" s="34" t="str">
        <f t="shared" si="3"/>
        <v/>
      </c>
      <c r="D827" s="47"/>
      <c r="E827" s="52"/>
      <c r="F827" s="47"/>
      <c r="G827" s="36" t="e">
        <f ca="1">_xludf.IFNA(VLOOKUP(F827,'Category Setup'!B:D,3,0), "")</f>
        <v>#NAME?</v>
      </c>
      <c r="H827" s="47"/>
    </row>
    <row r="828" spans="2:8" ht="15.75" customHeight="1" x14ac:dyDescent="0.2">
      <c r="B828" s="38"/>
      <c r="C828" s="28" t="str">
        <f t="shared" si="3"/>
        <v/>
      </c>
      <c r="D828" s="38"/>
      <c r="E828" s="53"/>
      <c r="F828" s="38"/>
      <c r="G828" s="31" t="e">
        <f ca="1">_xludf.IFNA(VLOOKUP(F828,'Category Setup'!B:D,3,0), "")</f>
        <v>#NAME?</v>
      </c>
      <c r="H828" s="38"/>
    </row>
    <row r="829" spans="2:8" ht="15.75" customHeight="1" x14ac:dyDescent="0.2">
      <c r="B829" s="47"/>
      <c r="C829" s="34" t="str">
        <f t="shared" si="3"/>
        <v/>
      </c>
      <c r="D829" s="47"/>
      <c r="E829" s="52"/>
      <c r="F829" s="47"/>
      <c r="G829" s="36" t="e">
        <f ca="1">_xludf.IFNA(VLOOKUP(F829,'Category Setup'!B:D,3,0), "")</f>
        <v>#NAME?</v>
      </c>
      <c r="H829" s="47"/>
    </row>
    <row r="830" spans="2:8" ht="15.75" customHeight="1" x14ac:dyDescent="0.2">
      <c r="B830" s="38"/>
      <c r="C830" s="28" t="str">
        <f t="shared" si="3"/>
        <v/>
      </c>
      <c r="D830" s="38"/>
      <c r="E830" s="53"/>
      <c r="F830" s="38"/>
      <c r="G830" s="31" t="e">
        <f ca="1">_xludf.IFNA(VLOOKUP(F830,'Category Setup'!B:D,3,0), "")</f>
        <v>#NAME?</v>
      </c>
      <c r="H830" s="38"/>
    </row>
    <row r="831" spans="2:8" ht="15.75" customHeight="1" x14ac:dyDescent="0.2">
      <c r="B831" s="47"/>
      <c r="C831" s="34" t="str">
        <f t="shared" si="3"/>
        <v/>
      </c>
      <c r="D831" s="47"/>
      <c r="E831" s="52"/>
      <c r="F831" s="47"/>
      <c r="G831" s="36" t="e">
        <f ca="1">_xludf.IFNA(VLOOKUP(F831,'Category Setup'!B:D,3,0), "")</f>
        <v>#NAME?</v>
      </c>
      <c r="H831" s="47"/>
    </row>
    <row r="832" spans="2:8" ht="15.75" customHeight="1" x14ac:dyDescent="0.2">
      <c r="B832" s="38"/>
      <c r="C832" s="28" t="str">
        <f t="shared" si="3"/>
        <v/>
      </c>
      <c r="D832" s="38"/>
      <c r="E832" s="53"/>
      <c r="F832" s="38"/>
      <c r="G832" s="31" t="e">
        <f ca="1">_xludf.IFNA(VLOOKUP(F832,'Category Setup'!B:D,3,0), "")</f>
        <v>#NAME?</v>
      </c>
      <c r="H832" s="38"/>
    </row>
    <row r="833" spans="2:8" ht="15.75" customHeight="1" x14ac:dyDescent="0.2">
      <c r="B833" s="47"/>
      <c r="C833" s="34" t="str">
        <f t="shared" si="3"/>
        <v/>
      </c>
      <c r="D833" s="47"/>
      <c r="E833" s="52"/>
      <c r="F833" s="47"/>
      <c r="G833" s="36" t="e">
        <f ca="1">_xludf.IFNA(VLOOKUP(F833,'Category Setup'!B:D,3,0), "")</f>
        <v>#NAME?</v>
      </c>
      <c r="H833" s="47"/>
    </row>
    <row r="834" spans="2:8" ht="15.75" customHeight="1" x14ac:dyDescent="0.2">
      <c r="B834" s="38"/>
      <c r="C834" s="28" t="str">
        <f t="shared" si="3"/>
        <v/>
      </c>
      <c r="D834" s="38"/>
      <c r="E834" s="53"/>
      <c r="F834" s="38"/>
      <c r="G834" s="31" t="e">
        <f ca="1">_xludf.IFNA(VLOOKUP(F834,'Category Setup'!B:D,3,0), "")</f>
        <v>#NAME?</v>
      </c>
      <c r="H834" s="38"/>
    </row>
    <row r="835" spans="2:8" ht="15.75" customHeight="1" x14ac:dyDescent="0.2">
      <c r="B835" s="47"/>
      <c r="C835" s="34" t="str">
        <f t="shared" si="3"/>
        <v/>
      </c>
      <c r="D835" s="47"/>
      <c r="E835" s="52"/>
      <c r="F835" s="47"/>
      <c r="G835" s="36" t="e">
        <f ca="1">_xludf.IFNA(VLOOKUP(F835,'Category Setup'!B:D,3,0), "")</f>
        <v>#NAME?</v>
      </c>
      <c r="H835" s="47"/>
    </row>
    <row r="836" spans="2:8" ht="15.75" customHeight="1" x14ac:dyDescent="0.2">
      <c r="B836" s="38"/>
      <c r="C836" s="28" t="str">
        <f t="shared" si="3"/>
        <v/>
      </c>
      <c r="D836" s="38"/>
      <c r="E836" s="53"/>
      <c r="F836" s="38"/>
      <c r="G836" s="31" t="e">
        <f ca="1">_xludf.IFNA(VLOOKUP(F836,'Category Setup'!B:D,3,0), "")</f>
        <v>#NAME?</v>
      </c>
      <c r="H836" s="38"/>
    </row>
    <row r="837" spans="2:8" ht="15.75" customHeight="1" x14ac:dyDescent="0.2">
      <c r="B837" s="47"/>
      <c r="C837" s="34" t="str">
        <f t="shared" si="3"/>
        <v/>
      </c>
      <c r="D837" s="47"/>
      <c r="E837" s="52"/>
      <c r="F837" s="47"/>
      <c r="G837" s="36" t="e">
        <f ca="1">_xludf.IFNA(VLOOKUP(F837,'Category Setup'!B:D,3,0), "")</f>
        <v>#NAME?</v>
      </c>
      <c r="H837" s="47"/>
    </row>
    <row r="838" spans="2:8" ht="15.75" customHeight="1" x14ac:dyDescent="0.2">
      <c r="B838" s="38"/>
      <c r="C838" s="28" t="str">
        <f t="shared" si="3"/>
        <v/>
      </c>
      <c r="D838" s="38"/>
      <c r="E838" s="53"/>
      <c r="F838" s="38"/>
      <c r="G838" s="31" t="e">
        <f ca="1">_xludf.IFNA(VLOOKUP(F838,'Category Setup'!B:D,3,0), "")</f>
        <v>#NAME?</v>
      </c>
      <c r="H838" s="38"/>
    </row>
    <row r="839" spans="2:8" ht="15.75" customHeight="1" x14ac:dyDescent="0.2">
      <c r="B839" s="47"/>
      <c r="C839" s="34" t="str">
        <f t="shared" si="3"/>
        <v/>
      </c>
      <c r="D839" s="47"/>
      <c r="E839" s="52"/>
      <c r="F839" s="47"/>
      <c r="G839" s="36" t="e">
        <f ca="1">_xludf.IFNA(VLOOKUP(F839,'Category Setup'!B:D,3,0), "")</f>
        <v>#NAME?</v>
      </c>
      <c r="H839" s="47"/>
    </row>
    <row r="840" spans="2:8" ht="15.75" customHeight="1" x14ac:dyDescent="0.2">
      <c r="B840" s="38"/>
      <c r="C840" s="28" t="str">
        <f t="shared" si="3"/>
        <v/>
      </c>
      <c r="D840" s="38"/>
      <c r="E840" s="53"/>
      <c r="F840" s="38"/>
      <c r="G840" s="31" t="e">
        <f ca="1">_xludf.IFNA(VLOOKUP(F840,'Category Setup'!B:D,3,0), "")</f>
        <v>#NAME?</v>
      </c>
      <c r="H840" s="38"/>
    </row>
    <row r="841" spans="2:8" ht="15.75" customHeight="1" x14ac:dyDescent="0.2">
      <c r="B841" s="47"/>
      <c r="C841" s="34" t="str">
        <f t="shared" si="3"/>
        <v/>
      </c>
      <c r="D841" s="47"/>
      <c r="E841" s="52"/>
      <c r="F841" s="47"/>
      <c r="G841" s="36" t="e">
        <f ca="1">_xludf.IFNA(VLOOKUP(F841,'Category Setup'!B:D,3,0), "")</f>
        <v>#NAME?</v>
      </c>
      <c r="H841" s="47"/>
    </row>
    <row r="842" spans="2:8" ht="15.75" customHeight="1" x14ac:dyDescent="0.2">
      <c r="B842" s="38"/>
      <c r="C842" s="28" t="str">
        <f t="shared" si="3"/>
        <v/>
      </c>
      <c r="D842" s="38"/>
      <c r="E842" s="53"/>
      <c r="F842" s="38"/>
      <c r="G842" s="31" t="e">
        <f ca="1">_xludf.IFNA(VLOOKUP(F842,'Category Setup'!B:D,3,0), "")</f>
        <v>#NAME?</v>
      </c>
      <c r="H842" s="38"/>
    </row>
    <row r="843" spans="2:8" ht="15.75" customHeight="1" x14ac:dyDescent="0.2">
      <c r="B843" s="47"/>
      <c r="C843" s="34" t="str">
        <f t="shared" si="3"/>
        <v/>
      </c>
      <c r="D843" s="47"/>
      <c r="E843" s="52"/>
      <c r="F843" s="47"/>
      <c r="G843" s="36" t="e">
        <f ca="1">_xludf.IFNA(VLOOKUP(F843,'Category Setup'!B:D,3,0), "")</f>
        <v>#NAME?</v>
      </c>
      <c r="H843" s="47"/>
    </row>
    <row r="844" spans="2:8" ht="15.75" customHeight="1" x14ac:dyDescent="0.2">
      <c r="B844" s="38"/>
      <c r="C844" s="28" t="str">
        <f t="shared" si="3"/>
        <v/>
      </c>
      <c r="D844" s="38"/>
      <c r="E844" s="53"/>
      <c r="F844" s="38"/>
      <c r="G844" s="31" t="e">
        <f ca="1">_xludf.IFNA(VLOOKUP(F844,'Category Setup'!B:D,3,0), "")</f>
        <v>#NAME?</v>
      </c>
      <c r="H844" s="38"/>
    </row>
    <row r="845" spans="2:8" ht="15.75" customHeight="1" x14ac:dyDescent="0.2">
      <c r="B845" s="47"/>
      <c r="C845" s="34" t="str">
        <f t="shared" si="3"/>
        <v/>
      </c>
      <c r="D845" s="47"/>
      <c r="E845" s="52"/>
      <c r="F845" s="47"/>
      <c r="G845" s="36" t="e">
        <f ca="1">_xludf.IFNA(VLOOKUP(F845,'Category Setup'!B:D,3,0), "")</f>
        <v>#NAME?</v>
      </c>
      <c r="H845" s="47"/>
    </row>
    <row r="846" spans="2:8" ht="15.75" customHeight="1" x14ac:dyDescent="0.2">
      <c r="B846" s="38"/>
      <c r="C846" s="28" t="str">
        <f t="shared" si="3"/>
        <v/>
      </c>
      <c r="D846" s="38"/>
      <c r="E846" s="53"/>
      <c r="F846" s="38"/>
      <c r="G846" s="31" t="e">
        <f ca="1">_xludf.IFNA(VLOOKUP(F846,'Category Setup'!B:D,3,0), "")</f>
        <v>#NAME?</v>
      </c>
      <c r="H846" s="38"/>
    </row>
    <row r="847" spans="2:8" ht="15.75" customHeight="1" x14ac:dyDescent="0.2">
      <c r="B847" s="47"/>
      <c r="C847" s="34" t="str">
        <f t="shared" si="3"/>
        <v/>
      </c>
      <c r="D847" s="47"/>
      <c r="E847" s="52"/>
      <c r="F847" s="47"/>
      <c r="G847" s="36" t="e">
        <f ca="1">_xludf.IFNA(VLOOKUP(F847,'Category Setup'!B:D,3,0), "")</f>
        <v>#NAME?</v>
      </c>
      <c r="H847" s="47"/>
    </row>
    <row r="848" spans="2:8" ht="15.75" customHeight="1" x14ac:dyDescent="0.2">
      <c r="B848" s="38"/>
      <c r="C848" s="28" t="str">
        <f t="shared" si="3"/>
        <v/>
      </c>
      <c r="D848" s="38"/>
      <c r="E848" s="53"/>
      <c r="F848" s="38"/>
      <c r="G848" s="31" t="e">
        <f ca="1">_xludf.IFNA(VLOOKUP(F848,'Category Setup'!B:D,3,0), "")</f>
        <v>#NAME?</v>
      </c>
      <c r="H848" s="38"/>
    </row>
    <row r="849" spans="2:8" ht="15.75" customHeight="1" x14ac:dyDescent="0.2">
      <c r="B849" s="47"/>
      <c r="C849" s="34" t="str">
        <f t="shared" si="3"/>
        <v/>
      </c>
      <c r="D849" s="47"/>
      <c r="E849" s="52"/>
      <c r="F849" s="47"/>
      <c r="G849" s="36" t="e">
        <f ca="1">_xludf.IFNA(VLOOKUP(F849,'Category Setup'!B:D,3,0), "")</f>
        <v>#NAME?</v>
      </c>
      <c r="H849" s="47"/>
    </row>
    <row r="850" spans="2:8" ht="15.75" customHeight="1" x14ac:dyDescent="0.2">
      <c r="B850" s="38"/>
      <c r="C850" s="28" t="str">
        <f t="shared" si="3"/>
        <v/>
      </c>
      <c r="D850" s="38"/>
      <c r="E850" s="53"/>
      <c r="F850" s="38"/>
      <c r="G850" s="31" t="e">
        <f ca="1">_xludf.IFNA(VLOOKUP(F850,'Category Setup'!B:D,3,0), "")</f>
        <v>#NAME?</v>
      </c>
      <c r="H850" s="38"/>
    </row>
    <row r="851" spans="2:8" ht="15.75" customHeight="1" x14ac:dyDescent="0.2">
      <c r="B851" s="47"/>
      <c r="C851" s="34" t="str">
        <f t="shared" si="3"/>
        <v/>
      </c>
      <c r="D851" s="47"/>
      <c r="E851" s="52"/>
      <c r="F851" s="47"/>
      <c r="G851" s="36" t="e">
        <f ca="1">_xludf.IFNA(VLOOKUP(F851,'Category Setup'!B:D,3,0), "")</f>
        <v>#NAME?</v>
      </c>
      <c r="H851" s="47"/>
    </row>
    <row r="852" spans="2:8" ht="15.75" customHeight="1" x14ac:dyDescent="0.2">
      <c r="B852" s="38"/>
      <c r="C852" s="28" t="str">
        <f t="shared" si="3"/>
        <v/>
      </c>
      <c r="D852" s="38"/>
      <c r="E852" s="53"/>
      <c r="F852" s="38"/>
      <c r="G852" s="31" t="e">
        <f ca="1">_xludf.IFNA(VLOOKUP(F852,'Category Setup'!B:D,3,0), "")</f>
        <v>#NAME?</v>
      </c>
      <c r="H852" s="38"/>
    </row>
    <row r="853" spans="2:8" ht="15.75" customHeight="1" x14ac:dyDescent="0.2">
      <c r="B853" s="47"/>
      <c r="C853" s="34" t="str">
        <f t="shared" si="3"/>
        <v/>
      </c>
      <c r="D853" s="47"/>
      <c r="E853" s="52"/>
      <c r="F853" s="47"/>
      <c r="G853" s="36" t="e">
        <f ca="1">_xludf.IFNA(VLOOKUP(F853,'Category Setup'!B:D,3,0), "")</f>
        <v>#NAME?</v>
      </c>
      <c r="H853" s="47"/>
    </row>
    <row r="854" spans="2:8" ht="15.75" customHeight="1" x14ac:dyDescent="0.2">
      <c r="B854" s="38"/>
      <c r="C854" s="28" t="str">
        <f t="shared" si="3"/>
        <v/>
      </c>
      <c r="D854" s="38"/>
      <c r="E854" s="53"/>
      <c r="F854" s="38"/>
      <c r="G854" s="31" t="e">
        <f ca="1">_xludf.IFNA(VLOOKUP(F854,'Category Setup'!B:D,3,0), "")</f>
        <v>#NAME?</v>
      </c>
      <c r="H854" s="38"/>
    </row>
    <row r="855" spans="2:8" ht="15.75" customHeight="1" x14ac:dyDescent="0.2">
      <c r="B855" s="47"/>
      <c r="C855" s="34" t="str">
        <f t="shared" si="3"/>
        <v/>
      </c>
      <c r="D855" s="47"/>
      <c r="E855" s="52"/>
      <c r="F855" s="47"/>
      <c r="G855" s="36" t="e">
        <f ca="1">_xludf.IFNA(VLOOKUP(F855,'Category Setup'!B:D,3,0), "")</f>
        <v>#NAME?</v>
      </c>
      <c r="H855" s="47"/>
    </row>
    <row r="856" spans="2:8" ht="15.75" customHeight="1" x14ac:dyDescent="0.2">
      <c r="B856" s="38"/>
      <c r="C856" s="28" t="str">
        <f t="shared" si="3"/>
        <v/>
      </c>
      <c r="D856" s="38"/>
      <c r="E856" s="53"/>
      <c r="F856" s="38"/>
      <c r="G856" s="31" t="e">
        <f ca="1">_xludf.IFNA(VLOOKUP(F856,'Category Setup'!B:D,3,0), "")</f>
        <v>#NAME?</v>
      </c>
      <c r="H856" s="38"/>
    </row>
    <row r="857" spans="2:8" ht="15.75" customHeight="1" x14ac:dyDescent="0.2">
      <c r="B857" s="47"/>
      <c r="C857" s="34" t="str">
        <f t="shared" si="3"/>
        <v/>
      </c>
      <c r="D857" s="47"/>
      <c r="E857" s="52"/>
      <c r="F857" s="47"/>
      <c r="G857" s="36" t="e">
        <f ca="1">_xludf.IFNA(VLOOKUP(F857,'Category Setup'!B:D,3,0), "")</f>
        <v>#NAME?</v>
      </c>
      <c r="H857" s="47"/>
    </row>
    <row r="858" spans="2:8" ht="15.75" customHeight="1" x14ac:dyDescent="0.2">
      <c r="B858" s="38"/>
      <c r="C858" s="28" t="str">
        <f t="shared" si="3"/>
        <v/>
      </c>
      <c r="D858" s="38"/>
      <c r="E858" s="53"/>
      <c r="F858" s="38"/>
      <c r="G858" s="31" t="e">
        <f ca="1">_xludf.IFNA(VLOOKUP(F858,'Category Setup'!B:D,3,0), "")</f>
        <v>#NAME?</v>
      </c>
      <c r="H858" s="38"/>
    </row>
    <row r="859" spans="2:8" ht="15.75" customHeight="1" x14ac:dyDescent="0.2">
      <c r="B859" s="47"/>
      <c r="C859" s="34" t="str">
        <f t="shared" si="3"/>
        <v/>
      </c>
      <c r="D859" s="47"/>
      <c r="E859" s="52"/>
      <c r="F859" s="47"/>
      <c r="G859" s="36" t="e">
        <f ca="1">_xludf.IFNA(VLOOKUP(F859,'Category Setup'!B:D,3,0), "")</f>
        <v>#NAME?</v>
      </c>
      <c r="H859" s="47"/>
    </row>
    <row r="860" spans="2:8" ht="15.75" customHeight="1" x14ac:dyDescent="0.2">
      <c r="B860" s="38"/>
      <c r="C860" s="28" t="str">
        <f t="shared" si="3"/>
        <v/>
      </c>
      <c r="D860" s="38"/>
      <c r="E860" s="53"/>
      <c r="F860" s="38"/>
      <c r="G860" s="31" t="e">
        <f ca="1">_xludf.IFNA(VLOOKUP(F860,'Category Setup'!B:D,3,0), "")</f>
        <v>#NAME?</v>
      </c>
      <c r="H860" s="38"/>
    </row>
    <row r="861" spans="2:8" ht="15.75" customHeight="1" x14ac:dyDescent="0.2">
      <c r="B861" s="47"/>
      <c r="C861" s="34" t="str">
        <f t="shared" si="3"/>
        <v/>
      </c>
      <c r="D861" s="47"/>
      <c r="E861" s="52"/>
      <c r="F861" s="47"/>
      <c r="G861" s="36" t="e">
        <f ca="1">_xludf.IFNA(VLOOKUP(F861,'Category Setup'!B:D,3,0), "")</f>
        <v>#NAME?</v>
      </c>
      <c r="H861" s="47"/>
    </row>
    <row r="862" spans="2:8" ht="15.75" customHeight="1" x14ac:dyDescent="0.2">
      <c r="B862" s="38"/>
      <c r="C862" s="28" t="str">
        <f t="shared" si="3"/>
        <v/>
      </c>
      <c r="D862" s="38"/>
      <c r="E862" s="53"/>
      <c r="F862" s="38"/>
      <c r="G862" s="31" t="e">
        <f ca="1">_xludf.IFNA(VLOOKUP(F862,'Category Setup'!B:D,3,0), "")</f>
        <v>#NAME?</v>
      </c>
      <c r="H862" s="38"/>
    </row>
    <row r="863" spans="2:8" ht="15.75" customHeight="1" x14ac:dyDescent="0.2">
      <c r="B863" s="47"/>
      <c r="C863" s="34" t="str">
        <f t="shared" si="3"/>
        <v/>
      </c>
      <c r="D863" s="47"/>
      <c r="E863" s="52"/>
      <c r="F863" s="47"/>
      <c r="G863" s="36" t="e">
        <f ca="1">_xludf.IFNA(VLOOKUP(F863,'Category Setup'!B:D,3,0), "")</f>
        <v>#NAME?</v>
      </c>
      <c r="H863" s="47"/>
    </row>
    <row r="864" spans="2:8" ht="15.75" customHeight="1" x14ac:dyDescent="0.2">
      <c r="B864" s="38"/>
      <c r="C864" s="28" t="str">
        <f t="shared" si="3"/>
        <v/>
      </c>
      <c r="D864" s="38"/>
      <c r="E864" s="53"/>
      <c r="F864" s="38"/>
      <c r="G864" s="31" t="e">
        <f ca="1">_xludf.IFNA(VLOOKUP(F864,'Category Setup'!B:D,3,0), "")</f>
        <v>#NAME?</v>
      </c>
      <c r="H864" s="38"/>
    </row>
    <row r="865" spans="2:8" ht="15.75" customHeight="1" x14ac:dyDescent="0.2">
      <c r="B865" s="47"/>
      <c r="C865" s="34" t="str">
        <f t="shared" si="3"/>
        <v/>
      </c>
      <c r="D865" s="47"/>
      <c r="E865" s="52"/>
      <c r="F865" s="47"/>
      <c r="G865" s="36" t="e">
        <f ca="1">_xludf.IFNA(VLOOKUP(F865,'Category Setup'!B:D,3,0), "")</f>
        <v>#NAME?</v>
      </c>
      <c r="H865" s="47"/>
    </row>
    <row r="866" spans="2:8" ht="15.75" customHeight="1" x14ac:dyDescent="0.2">
      <c r="B866" s="38"/>
      <c r="C866" s="28" t="str">
        <f t="shared" si="3"/>
        <v/>
      </c>
      <c r="D866" s="38"/>
      <c r="E866" s="53"/>
      <c r="F866" s="38"/>
      <c r="G866" s="31" t="e">
        <f ca="1">_xludf.IFNA(VLOOKUP(F866,'Category Setup'!B:D,3,0), "")</f>
        <v>#NAME?</v>
      </c>
      <c r="H866" s="38"/>
    </row>
    <row r="867" spans="2:8" ht="15.75" customHeight="1" x14ac:dyDescent="0.2">
      <c r="B867" s="47"/>
      <c r="C867" s="34" t="str">
        <f t="shared" si="3"/>
        <v/>
      </c>
      <c r="D867" s="47"/>
      <c r="E867" s="52"/>
      <c r="F867" s="47"/>
      <c r="G867" s="36" t="e">
        <f ca="1">_xludf.IFNA(VLOOKUP(F867,'Category Setup'!B:D,3,0), "")</f>
        <v>#NAME?</v>
      </c>
      <c r="H867" s="47"/>
    </row>
    <row r="868" spans="2:8" ht="15.75" customHeight="1" x14ac:dyDescent="0.2">
      <c r="B868" s="38"/>
      <c r="C868" s="28" t="str">
        <f t="shared" si="3"/>
        <v/>
      </c>
      <c r="D868" s="38"/>
      <c r="E868" s="53"/>
      <c r="F868" s="38"/>
      <c r="G868" s="31" t="e">
        <f ca="1">_xludf.IFNA(VLOOKUP(F868,'Category Setup'!B:D,3,0), "")</f>
        <v>#NAME?</v>
      </c>
      <c r="H868" s="38"/>
    </row>
    <row r="869" spans="2:8" ht="15.75" customHeight="1" x14ac:dyDescent="0.2">
      <c r="B869" s="47"/>
      <c r="C869" s="34" t="str">
        <f t="shared" si="3"/>
        <v/>
      </c>
      <c r="D869" s="47"/>
      <c r="E869" s="52"/>
      <c r="F869" s="47"/>
      <c r="G869" s="36" t="e">
        <f ca="1">_xludf.IFNA(VLOOKUP(F869,'Category Setup'!B:D,3,0), "")</f>
        <v>#NAME?</v>
      </c>
      <c r="H869" s="47"/>
    </row>
    <row r="870" spans="2:8" ht="15.75" customHeight="1" x14ac:dyDescent="0.2">
      <c r="B870" s="38"/>
      <c r="C870" s="28" t="str">
        <f t="shared" si="3"/>
        <v/>
      </c>
      <c r="D870" s="38"/>
      <c r="E870" s="53"/>
      <c r="F870" s="38"/>
      <c r="G870" s="31" t="e">
        <f ca="1">_xludf.IFNA(VLOOKUP(F870,'Category Setup'!B:D,3,0), "")</f>
        <v>#NAME?</v>
      </c>
      <c r="H870" s="38"/>
    </row>
    <row r="871" spans="2:8" ht="15.75" customHeight="1" x14ac:dyDescent="0.2">
      <c r="B871" s="47"/>
      <c r="C871" s="34" t="str">
        <f t="shared" si="3"/>
        <v/>
      </c>
      <c r="D871" s="47"/>
      <c r="E871" s="52"/>
      <c r="F871" s="47"/>
      <c r="G871" s="36" t="e">
        <f ca="1">_xludf.IFNA(VLOOKUP(F871,'Category Setup'!B:D,3,0), "")</f>
        <v>#NAME?</v>
      </c>
      <c r="H871" s="47"/>
    </row>
    <row r="872" spans="2:8" ht="15.75" customHeight="1" x14ac:dyDescent="0.2">
      <c r="B872" s="38"/>
      <c r="C872" s="28" t="str">
        <f t="shared" si="3"/>
        <v/>
      </c>
      <c r="D872" s="38"/>
      <c r="E872" s="53"/>
      <c r="F872" s="38"/>
      <c r="G872" s="31" t="e">
        <f ca="1">_xludf.IFNA(VLOOKUP(F872,'Category Setup'!B:D,3,0), "")</f>
        <v>#NAME?</v>
      </c>
      <c r="H872" s="38"/>
    </row>
    <row r="873" spans="2:8" ht="15.75" customHeight="1" x14ac:dyDescent="0.2">
      <c r="B873" s="47"/>
      <c r="C873" s="34" t="str">
        <f t="shared" si="3"/>
        <v/>
      </c>
      <c r="D873" s="47"/>
      <c r="E873" s="52"/>
      <c r="F873" s="47"/>
      <c r="G873" s="36" t="e">
        <f ca="1">_xludf.IFNA(VLOOKUP(F873,'Category Setup'!B:D,3,0), "")</f>
        <v>#NAME?</v>
      </c>
      <c r="H873" s="47"/>
    </row>
    <row r="874" spans="2:8" ht="15.75" customHeight="1" x14ac:dyDescent="0.2">
      <c r="B874" s="38"/>
      <c r="C874" s="28" t="str">
        <f t="shared" si="3"/>
        <v/>
      </c>
      <c r="D874" s="38"/>
      <c r="E874" s="53"/>
      <c r="F874" s="38"/>
      <c r="G874" s="31" t="e">
        <f ca="1">_xludf.IFNA(VLOOKUP(F874,'Category Setup'!B:D,3,0), "")</f>
        <v>#NAME?</v>
      </c>
      <c r="H874" s="38"/>
    </row>
    <row r="875" spans="2:8" ht="15.75" customHeight="1" x14ac:dyDescent="0.2">
      <c r="B875" s="47"/>
      <c r="C875" s="34" t="str">
        <f t="shared" si="3"/>
        <v/>
      </c>
      <c r="D875" s="47"/>
      <c r="E875" s="52"/>
      <c r="F875" s="47"/>
      <c r="G875" s="36" t="e">
        <f ca="1">_xludf.IFNA(VLOOKUP(F875,'Category Setup'!B:D,3,0), "")</f>
        <v>#NAME?</v>
      </c>
      <c r="H875" s="47"/>
    </row>
    <row r="876" spans="2:8" ht="15.75" customHeight="1" x14ac:dyDescent="0.2">
      <c r="B876" s="38"/>
      <c r="C876" s="28" t="str">
        <f t="shared" si="3"/>
        <v/>
      </c>
      <c r="D876" s="38"/>
      <c r="E876" s="53"/>
      <c r="F876" s="38"/>
      <c r="G876" s="31" t="e">
        <f ca="1">_xludf.IFNA(VLOOKUP(F876,'Category Setup'!B:D,3,0), "")</f>
        <v>#NAME?</v>
      </c>
      <c r="H876" s="38"/>
    </row>
    <row r="877" spans="2:8" ht="15.75" customHeight="1" x14ac:dyDescent="0.2">
      <c r="B877" s="47"/>
      <c r="C877" s="34" t="str">
        <f t="shared" si="3"/>
        <v/>
      </c>
      <c r="D877" s="47"/>
      <c r="E877" s="52"/>
      <c r="F877" s="47"/>
      <c r="G877" s="36" t="e">
        <f ca="1">_xludf.IFNA(VLOOKUP(F877,'Category Setup'!B:D,3,0), "")</f>
        <v>#NAME?</v>
      </c>
      <c r="H877" s="47"/>
    </row>
    <row r="878" spans="2:8" ht="15.75" customHeight="1" x14ac:dyDescent="0.2">
      <c r="B878" s="38"/>
      <c r="C878" s="28" t="str">
        <f t="shared" si="3"/>
        <v/>
      </c>
      <c r="D878" s="38"/>
      <c r="E878" s="53"/>
      <c r="F878" s="38"/>
      <c r="G878" s="31" t="e">
        <f ca="1">_xludf.IFNA(VLOOKUP(F878,'Category Setup'!B:D,3,0), "")</f>
        <v>#NAME?</v>
      </c>
      <c r="H878" s="38"/>
    </row>
    <row r="879" spans="2:8" ht="15.75" customHeight="1" x14ac:dyDescent="0.2">
      <c r="B879" s="47"/>
      <c r="C879" s="34" t="str">
        <f t="shared" si="3"/>
        <v/>
      </c>
      <c r="D879" s="47"/>
      <c r="E879" s="52"/>
      <c r="F879" s="47"/>
      <c r="G879" s="36" t="e">
        <f ca="1">_xludf.IFNA(VLOOKUP(F879,'Category Setup'!B:D,3,0), "")</f>
        <v>#NAME?</v>
      </c>
      <c r="H879" s="47"/>
    </row>
    <row r="880" spans="2:8" ht="15.75" customHeight="1" x14ac:dyDescent="0.2">
      <c r="B880" s="38"/>
      <c r="C880" s="28" t="str">
        <f t="shared" si="3"/>
        <v/>
      </c>
      <c r="D880" s="38"/>
      <c r="E880" s="53"/>
      <c r="F880" s="38"/>
      <c r="G880" s="31" t="e">
        <f ca="1">_xludf.IFNA(VLOOKUP(F880,'Category Setup'!B:D,3,0), "")</f>
        <v>#NAME?</v>
      </c>
      <c r="H880" s="38"/>
    </row>
    <row r="881" spans="2:8" ht="15.75" customHeight="1" x14ac:dyDescent="0.2">
      <c r="B881" s="47"/>
      <c r="C881" s="34" t="str">
        <f t="shared" si="3"/>
        <v/>
      </c>
      <c r="D881" s="47"/>
      <c r="E881" s="52"/>
      <c r="F881" s="47"/>
      <c r="G881" s="36" t="e">
        <f ca="1">_xludf.IFNA(VLOOKUP(F881,'Category Setup'!B:D,3,0), "")</f>
        <v>#NAME?</v>
      </c>
      <c r="H881" s="47"/>
    </row>
    <row r="882" spans="2:8" ht="15.75" customHeight="1" x14ac:dyDescent="0.2">
      <c r="B882" s="38"/>
      <c r="C882" s="28" t="str">
        <f t="shared" si="3"/>
        <v/>
      </c>
      <c r="D882" s="38"/>
      <c r="E882" s="53"/>
      <c r="F882" s="38"/>
      <c r="G882" s="31" t="e">
        <f ca="1">_xludf.IFNA(VLOOKUP(F882,'Category Setup'!B:D,3,0), "")</f>
        <v>#NAME?</v>
      </c>
      <c r="H882" s="38"/>
    </row>
    <row r="883" spans="2:8" ht="15.75" customHeight="1" x14ac:dyDescent="0.2">
      <c r="B883" s="47"/>
      <c r="C883" s="34" t="str">
        <f t="shared" si="3"/>
        <v/>
      </c>
      <c r="D883" s="47"/>
      <c r="E883" s="52"/>
      <c r="F883" s="47"/>
      <c r="G883" s="36" t="e">
        <f ca="1">_xludf.IFNA(VLOOKUP(F883,'Category Setup'!B:D,3,0), "")</f>
        <v>#NAME?</v>
      </c>
      <c r="H883" s="47"/>
    </row>
    <row r="884" spans="2:8" ht="15.75" customHeight="1" x14ac:dyDescent="0.2">
      <c r="B884" s="38"/>
      <c r="C884" s="28" t="str">
        <f t="shared" si="3"/>
        <v/>
      </c>
      <c r="D884" s="38"/>
      <c r="E884" s="53"/>
      <c r="F884" s="38"/>
      <c r="G884" s="31" t="e">
        <f ca="1">_xludf.IFNA(VLOOKUP(F884,'Category Setup'!B:D,3,0), "")</f>
        <v>#NAME?</v>
      </c>
      <c r="H884" s="38"/>
    </row>
    <row r="885" spans="2:8" ht="15.75" customHeight="1" x14ac:dyDescent="0.2">
      <c r="B885" s="47"/>
      <c r="C885" s="34" t="str">
        <f t="shared" si="3"/>
        <v/>
      </c>
      <c r="D885" s="47"/>
      <c r="E885" s="52"/>
      <c r="F885" s="47"/>
      <c r="G885" s="36" t="e">
        <f ca="1">_xludf.IFNA(VLOOKUP(F885,'Category Setup'!B:D,3,0), "")</f>
        <v>#NAME?</v>
      </c>
      <c r="H885" s="47"/>
    </row>
    <row r="886" spans="2:8" ht="15.75" customHeight="1" x14ac:dyDescent="0.2">
      <c r="B886" s="38"/>
      <c r="C886" s="28" t="str">
        <f t="shared" si="3"/>
        <v/>
      </c>
      <c r="D886" s="38"/>
      <c r="E886" s="53"/>
      <c r="F886" s="38"/>
      <c r="G886" s="31" t="e">
        <f ca="1">_xludf.IFNA(VLOOKUP(F886,'Category Setup'!B:D,3,0), "")</f>
        <v>#NAME?</v>
      </c>
      <c r="H886" s="38"/>
    </row>
    <row r="887" spans="2:8" ht="15.75" customHeight="1" x14ac:dyDescent="0.2">
      <c r="B887" s="47"/>
      <c r="C887" s="34" t="str">
        <f t="shared" si="3"/>
        <v/>
      </c>
      <c r="D887" s="47"/>
      <c r="E887" s="52"/>
      <c r="F887" s="47"/>
      <c r="G887" s="36" t="e">
        <f ca="1">_xludf.IFNA(VLOOKUP(F887,'Category Setup'!B:D,3,0), "")</f>
        <v>#NAME?</v>
      </c>
      <c r="H887" s="47"/>
    </row>
    <row r="888" spans="2:8" ht="15.75" customHeight="1" x14ac:dyDescent="0.2">
      <c r="B888" s="38"/>
      <c r="C888" s="28" t="str">
        <f t="shared" si="3"/>
        <v/>
      </c>
      <c r="D888" s="38"/>
      <c r="E888" s="53"/>
      <c r="F888" s="38"/>
      <c r="G888" s="31" t="e">
        <f ca="1">_xludf.IFNA(VLOOKUP(F888,'Category Setup'!B:D,3,0), "")</f>
        <v>#NAME?</v>
      </c>
      <c r="H888" s="38"/>
    </row>
    <row r="889" spans="2:8" ht="15.75" customHeight="1" x14ac:dyDescent="0.2">
      <c r="B889" s="47"/>
      <c r="C889" s="34" t="str">
        <f t="shared" si="3"/>
        <v/>
      </c>
      <c r="D889" s="47"/>
      <c r="E889" s="52"/>
      <c r="F889" s="47"/>
      <c r="G889" s="36" t="e">
        <f ca="1">_xludf.IFNA(VLOOKUP(F889,'Category Setup'!B:D,3,0), "")</f>
        <v>#NAME?</v>
      </c>
      <c r="H889" s="47"/>
    </row>
    <row r="890" spans="2:8" ht="15.75" customHeight="1" x14ac:dyDescent="0.2">
      <c r="B890" s="38"/>
      <c r="C890" s="28" t="str">
        <f t="shared" si="3"/>
        <v/>
      </c>
      <c r="D890" s="38"/>
      <c r="E890" s="53"/>
      <c r="F890" s="38"/>
      <c r="G890" s="31" t="e">
        <f ca="1">_xludf.IFNA(VLOOKUP(F890,'Category Setup'!B:D,3,0), "")</f>
        <v>#NAME?</v>
      </c>
      <c r="H890" s="38"/>
    </row>
    <row r="891" spans="2:8" ht="15.75" customHeight="1" x14ac:dyDescent="0.2">
      <c r="B891" s="47"/>
      <c r="C891" s="34" t="str">
        <f t="shared" si="3"/>
        <v/>
      </c>
      <c r="D891" s="47"/>
      <c r="E891" s="52"/>
      <c r="F891" s="47"/>
      <c r="G891" s="36" t="e">
        <f ca="1">_xludf.IFNA(VLOOKUP(F891,'Category Setup'!B:D,3,0), "")</f>
        <v>#NAME?</v>
      </c>
      <c r="H891" s="47"/>
    </row>
    <row r="892" spans="2:8" ht="15.75" customHeight="1" x14ac:dyDescent="0.2">
      <c r="B892" s="38"/>
      <c r="C892" s="28" t="str">
        <f t="shared" si="3"/>
        <v/>
      </c>
      <c r="D892" s="38"/>
      <c r="E892" s="53"/>
      <c r="F892" s="38"/>
      <c r="G892" s="31" t="e">
        <f ca="1">_xludf.IFNA(VLOOKUP(F892,'Category Setup'!B:D,3,0), "")</f>
        <v>#NAME?</v>
      </c>
      <c r="H892" s="38"/>
    </row>
    <row r="893" spans="2:8" ht="15.75" customHeight="1" x14ac:dyDescent="0.2">
      <c r="B893" s="47"/>
      <c r="C893" s="34" t="str">
        <f t="shared" si="3"/>
        <v/>
      </c>
      <c r="D893" s="47"/>
      <c r="E893" s="52"/>
      <c r="F893" s="47"/>
      <c r="G893" s="36" t="e">
        <f ca="1">_xludf.IFNA(VLOOKUP(F893,'Category Setup'!B:D,3,0), "")</f>
        <v>#NAME?</v>
      </c>
      <c r="H893" s="47"/>
    </row>
    <row r="894" spans="2:8" ht="15.75" customHeight="1" x14ac:dyDescent="0.2">
      <c r="B894" s="38"/>
      <c r="C894" s="28" t="str">
        <f t="shared" si="3"/>
        <v/>
      </c>
      <c r="D894" s="38"/>
      <c r="E894" s="53"/>
      <c r="F894" s="38"/>
      <c r="G894" s="31" t="e">
        <f ca="1">_xludf.IFNA(VLOOKUP(F894,'Category Setup'!B:D,3,0), "")</f>
        <v>#NAME?</v>
      </c>
      <c r="H894" s="38"/>
    </row>
    <row r="895" spans="2:8" ht="15.75" customHeight="1" x14ac:dyDescent="0.2">
      <c r="B895" s="47"/>
      <c r="C895" s="34" t="str">
        <f t="shared" si="3"/>
        <v/>
      </c>
      <c r="D895" s="47"/>
      <c r="E895" s="52"/>
      <c r="F895" s="47"/>
      <c r="G895" s="36" t="e">
        <f ca="1">_xludf.IFNA(VLOOKUP(F895,'Category Setup'!B:D,3,0), "")</f>
        <v>#NAME?</v>
      </c>
      <c r="H895" s="47"/>
    </row>
    <row r="896" spans="2:8" ht="15.75" customHeight="1" x14ac:dyDescent="0.2">
      <c r="B896" s="38"/>
      <c r="C896" s="28" t="str">
        <f t="shared" si="3"/>
        <v/>
      </c>
      <c r="D896" s="38"/>
      <c r="E896" s="53"/>
      <c r="F896" s="38"/>
      <c r="G896" s="31" t="e">
        <f ca="1">_xludf.IFNA(VLOOKUP(F896,'Category Setup'!B:D,3,0), "")</f>
        <v>#NAME?</v>
      </c>
      <c r="H896" s="38"/>
    </row>
    <row r="897" spans="2:8" ht="15.75" customHeight="1" x14ac:dyDescent="0.2">
      <c r="B897" s="47"/>
      <c r="C897" s="34" t="str">
        <f t="shared" si="3"/>
        <v/>
      </c>
      <c r="D897" s="47"/>
      <c r="E897" s="52"/>
      <c r="F897" s="47"/>
      <c r="G897" s="36" t="e">
        <f ca="1">_xludf.IFNA(VLOOKUP(F897,'Category Setup'!B:D,3,0), "")</f>
        <v>#NAME?</v>
      </c>
      <c r="H897" s="47"/>
    </row>
    <row r="898" spans="2:8" ht="15.75" customHeight="1" x14ac:dyDescent="0.2">
      <c r="B898" s="38"/>
      <c r="C898" s="28" t="str">
        <f t="shared" si="3"/>
        <v/>
      </c>
      <c r="D898" s="38"/>
      <c r="E898" s="53"/>
      <c r="F898" s="38"/>
      <c r="G898" s="31" t="e">
        <f ca="1">_xludf.IFNA(VLOOKUP(F898,'Category Setup'!B:D,3,0), "")</f>
        <v>#NAME?</v>
      </c>
      <c r="H898" s="38"/>
    </row>
    <row r="899" spans="2:8" ht="15.75" customHeight="1" x14ac:dyDescent="0.2">
      <c r="B899" s="47"/>
      <c r="C899" s="34" t="str">
        <f t="shared" si="3"/>
        <v/>
      </c>
      <c r="D899" s="47"/>
      <c r="E899" s="52"/>
      <c r="F899" s="47"/>
      <c r="G899" s="36" t="e">
        <f ca="1">_xludf.IFNA(VLOOKUP(F899,'Category Setup'!B:D,3,0), "")</f>
        <v>#NAME?</v>
      </c>
      <c r="H899" s="47"/>
    </row>
    <row r="900" spans="2:8" ht="15.75" customHeight="1" x14ac:dyDescent="0.2">
      <c r="B900" s="38"/>
      <c r="C900" s="28" t="str">
        <f t="shared" si="3"/>
        <v/>
      </c>
      <c r="D900" s="38"/>
      <c r="E900" s="53"/>
      <c r="F900" s="38"/>
      <c r="G900" s="31" t="e">
        <f ca="1">_xludf.IFNA(VLOOKUP(F900,'Category Setup'!B:D,3,0), "")</f>
        <v>#NAME?</v>
      </c>
      <c r="H900" s="38"/>
    </row>
    <row r="901" spans="2:8" ht="15.75" customHeight="1" x14ac:dyDescent="0.2">
      <c r="B901" s="47"/>
      <c r="C901" s="34" t="str">
        <f t="shared" si="3"/>
        <v/>
      </c>
      <c r="D901" s="47"/>
      <c r="E901" s="52"/>
      <c r="F901" s="47"/>
      <c r="G901" s="36" t="e">
        <f ca="1">_xludf.IFNA(VLOOKUP(F901,'Category Setup'!B:D,3,0), "")</f>
        <v>#NAME?</v>
      </c>
      <c r="H901" s="47"/>
    </row>
    <row r="902" spans="2:8" ht="15.75" customHeight="1" x14ac:dyDescent="0.2">
      <c r="B902" s="38"/>
      <c r="C902" s="28" t="str">
        <f t="shared" si="3"/>
        <v/>
      </c>
      <c r="D902" s="38"/>
      <c r="E902" s="53"/>
      <c r="F902" s="38"/>
      <c r="G902" s="31" t="e">
        <f ca="1">_xludf.IFNA(VLOOKUP(F902,'Category Setup'!B:D,3,0), "")</f>
        <v>#NAME?</v>
      </c>
      <c r="H902" s="38"/>
    </row>
    <row r="903" spans="2:8" ht="15.75" customHeight="1" x14ac:dyDescent="0.2">
      <c r="B903" s="47"/>
      <c r="C903" s="34" t="str">
        <f t="shared" si="3"/>
        <v/>
      </c>
      <c r="D903" s="47"/>
      <c r="E903" s="52"/>
      <c r="F903" s="47"/>
      <c r="G903" s="36" t="e">
        <f ca="1">_xludf.IFNA(VLOOKUP(F903,'Category Setup'!B:D,3,0), "")</f>
        <v>#NAME?</v>
      </c>
      <c r="H903" s="47"/>
    </row>
    <row r="904" spans="2:8" ht="15.75" customHeight="1" x14ac:dyDescent="0.2">
      <c r="B904" s="38"/>
      <c r="C904" s="28" t="str">
        <f t="shared" si="3"/>
        <v/>
      </c>
      <c r="D904" s="38"/>
      <c r="E904" s="53"/>
      <c r="F904" s="38"/>
      <c r="G904" s="31" t="e">
        <f ca="1">_xludf.IFNA(VLOOKUP(F904,'Category Setup'!B:D,3,0), "")</f>
        <v>#NAME?</v>
      </c>
      <c r="H904" s="38"/>
    </row>
    <row r="905" spans="2:8" ht="15.75" customHeight="1" x14ac:dyDescent="0.2">
      <c r="B905" s="47"/>
      <c r="C905" s="34" t="str">
        <f t="shared" si="3"/>
        <v/>
      </c>
      <c r="D905" s="47"/>
      <c r="E905" s="52"/>
      <c r="F905" s="47"/>
      <c r="G905" s="36" t="e">
        <f ca="1">_xludf.IFNA(VLOOKUP(F905,'Category Setup'!B:D,3,0), "")</f>
        <v>#NAME?</v>
      </c>
      <c r="H905" s="47"/>
    </row>
    <row r="906" spans="2:8" ht="15.75" customHeight="1" x14ac:dyDescent="0.2">
      <c r="B906" s="38"/>
      <c r="C906" s="28" t="str">
        <f t="shared" si="3"/>
        <v/>
      </c>
      <c r="D906" s="38"/>
      <c r="E906" s="53"/>
      <c r="F906" s="38"/>
      <c r="G906" s="31" t="e">
        <f ca="1">_xludf.IFNA(VLOOKUP(F906,'Category Setup'!B:D,3,0), "")</f>
        <v>#NAME?</v>
      </c>
      <c r="H906" s="38"/>
    </row>
    <row r="907" spans="2:8" ht="15.75" customHeight="1" x14ac:dyDescent="0.2">
      <c r="B907" s="47"/>
      <c r="C907" s="34" t="str">
        <f t="shared" si="3"/>
        <v/>
      </c>
      <c r="D907" s="47"/>
      <c r="E907" s="52"/>
      <c r="F907" s="47"/>
      <c r="G907" s="36" t="e">
        <f ca="1">_xludf.IFNA(VLOOKUP(F907,'Category Setup'!B:D,3,0), "")</f>
        <v>#NAME?</v>
      </c>
      <c r="H907" s="47"/>
    </row>
    <row r="908" spans="2:8" ht="15.75" customHeight="1" x14ac:dyDescent="0.2">
      <c r="B908" s="38"/>
      <c r="C908" s="28" t="str">
        <f t="shared" si="3"/>
        <v/>
      </c>
      <c r="D908" s="38"/>
      <c r="E908" s="53"/>
      <c r="F908" s="38"/>
      <c r="G908" s="31" t="e">
        <f ca="1">_xludf.IFNA(VLOOKUP(F908,'Category Setup'!B:D,3,0), "")</f>
        <v>#NAME?</v>
      </c>
      <c r="H908" s="38"/>
    </row>
    <row r="909" spans="2:8" ht="15.75" customHeight="1" x14ac:dyDescent="0.2">
      <c r="B909" s="47"/>
      <c r="C909" s="34" t="str">
        <f t="shared" si="3"/>
        <v/>
      </c>
      <c r="D909" s="47"/>
      <c r="E909" s="52"/>
      <c r="F909" s="47"/>
      <c r="G909" s="36" t="e">
        <f ca="1">_xludf.IFNA(VLOOKUP(F909,'Category Setup'!B:D,3,0), "")</f>
        <v>#NAME?</v>
      </c>
      <c r="H909" s="47"/>
    </row>
    <row r="910" spans="2:8" ht="15.75" customHeight="1" x14ac:dyDescent="0.2">
      <c r="B910" s="38"/>
      <c r="C910" s="28" t="str">
        <f t="shared" si="3"/>
        <v/>
      </c>
      <c r="D910" s="38"/>
      <c r="E910" s="53"/>
      <c r="F910" s="38"/>
      <c r="G910" s="31" t="e">
        <f ca="1">_xludf.IFNA(VLOOKUP(F910,'Category Setup'!B:D,3,0), "")</f>
        <v>#NAME?</v>
      </c>
      <c r="H910" s="38"/>
    </row>
    <row r="911" spans="2:8" ht="15.75" customHeight="1" x14ac:dyDescent="0.2">
      <c r="B911" s="47"/>
      <c r="C911" s="34" t="str">
        <f t="shared" si="3"/>
        <v/>
      </c>
      <c r="D911" s="47"/>
      <c r="E911" s="52"/>
      <c r="F911" s="47"/>
      <c r="G911" s="36" t="e">
        <f ca="1">_xludf.IFNA(VLOOKUP(F911,'Category Setup'!B:D,3,0), "")</f>
        <v>#NAME?</v>
      </c>
      <c r="H911" s="47"/>
    </row>
    <row r="912" spans="2:8" ht="15.75" customHeight="1" x14ac:dyDescent="0.2">
      <c r="B912" s="38"/>
      <c r="C912" s="28" t="str">
        <f t="shared" si="3"/>
        <v/>
      </c>
      <c r="D912" s="38"/>
      <c r="E912" s="53"/>
      <c r="F912" s="38"/>
      <c r="G912" s="31" t="e">
        <f ca="1">_xludf.IFNA(VLOOKUP(F912,'Category Setup'!B:D,3,0), "")</f>
        <v>#NAME?</v>
      </c>
      <c r="H912" s="38"/>
    </row>
    <row r="913" spans="2:8" ht="15.75" customHeight="1" x14ac:dyDescent="0.2">
      <c r="B913" s="47"/>
      <c r="C913" s="34" t="str">
        <f t="shared" si="3"/>
        <v/>
      </c>
      <c r="D913" s="47"/>
      <c r="E913" s="52"/>
      <c r="F913" s="47"/>
      <c r="G913" s="36" t="e">
        <f ca="1">_xludf.IFNA(VLOOKUP(F913,'Category Setup'!B:D,3,0), "")</f>
        <v>#NAME?</v>
      </c>
      <c r="H913" s="47"/>
    </row>
    <row r="914" spans="2:8" ht="15.75" customHeight="1" x14ac:dyDescent="0.2">
      <c r="B914" s="38"/>
      <c r="C914" s="28" t="str">
        <f t="shared" si="3"/>
        <v/>
      </c>
      <c r="D914" s="38"/>
      <c r="E914" s="53"/>
      <c r="F914" s="38"/>
      <c r="G914" s="31" t="e">
        <f ca="1">_xludf.IFNA(VLOOKUP(F914,'Category Setup'!B:D,3,0), "")</f>
        <v>#NAME?</v>
      </c>
      <c r="H914" s="38"/>
    </row>
    <row r="915" spans="2:8" ht="15.75" customHeight="1" x14ac:dyDescent="0.2">
      <c r="B915" s="47"/>
      <c r="C915" s="34" t="str">
        <f t="shared" si="3"/>
        <v/>
      </c>
      <c r="D915" s="47"/>
      <c r="E915" s="52"/>
      <c r="F915" s="47"/>
      <c r="G915" s="36" t="e">
        <f ca="1">_xludf.IFNA(VLOOKUP(F915,'Category Setup'!B:D,3,0), "")</f>
        <v>#NAME?</v>
      </c>
      <c r="H915" s="47"/>
    </row>
    <row r="916" spans="2:8" ht="15.75" customHeight="1" x14ac:dyDescent="0.2">
      <c r="B916" s="38"/>
      <c r="C916" s="28" t="str">
        <f t="shared" si="3"/>
        <v/>
      </c>
      <c r="D916" s="38"/>
      <c r="E916" s="53"/>
      <c r="F916" s="38"/>
      <c r="G916" s="31" t="e">
        <f ca="1">_xludf.IFNA(VLOOKUP(F916,'Category Setup'!B:D,3,0), "")</f>
        <v>#NAME?</v>
      </c>
      <c r="H916" s="38"/>
    </row>
    <row r="917" spans="2:8" ht="15.75" customHeight="1" x14ac:dyDescent="0.2">
      <c r="B917" s="47"/>
      <c r="C917" s="34" t="str">
        <f t="shared" si="3"/>
        <v/>
      </c>
      <c r="D917" s="47"/>
      <c r="E917" s="52"/>
      <c r="F917" s="47"/>
      <c r="G917" s="36" t="e">
        <f ca="1">_xludf.IFNA(VLOOKUP(F917,'Category Setup'!B:D,3,0), "")</f>
        <v>#NAME?</v>
      </c>
      <c r="H917" s="47"/>
    </row>
    <row r="918" spans="2:8" ht="15.75" customHeight="1" x14ac:dyDescent="0.2">
      <c r="B918" s="38"/>
      <c r="C918" s="28" t="str">
        <f t="shared" si="3"/>
        <v/>
      </c>
      <c r="D918" s="38"/>
      <c r="E918" s="53"/>
      <c r="F918" s="38"/>
      <c r="G918" s="31" t="e">
        <f ca="1">_xludf.IFNA(VLOOKUP(F918,'Category Setup'!B:D,3,0), "")</f>
        <v>#NAME?</v>
      </c>
      <c r="H918" s="38"/>
    </row>
    <row r="919" spans="2:8" ht="15.75" customHeight="1" x14ac:dyDescent="0.2">
      <c r="B919" s="47"/>
      <c r="C919" s="34" t="str">
        <f t="shared" si="3"/>
        <v/>
      </c>
      <c r="D919" s="47"/>
      <c r="E919" s="52"/>
      <c r="F919" s="47"/>
      <c r="G919" s="36" t="e">
        <f ca="1">_xludf.IFNA(VLOOKUP(F919,'Category Setup'!B:D,3,0), "")</f>
        <v>#NAME?</v>
      </c>
      <c r="H919" s="47"/>
    </row>
    <row r="920" spans="2:8" ht="15.75" customHeight="1" x14ac:dyDescent="0.2">
      <c r="B920" s="38"/>
      <c r="C920" s="28" t="str">
        <f t="shared" si="3"/>
        <v/>
      </c>
      <c r="D920" s="38"/>
      <c r="E920" s="53"/>
      <c r="F920" s="38"/>
      <c r="G920" s="31" t="e">
        <f ca="1">_xludf.IFNA(VLOOKUP(F920,'Category Setup'!B:D,3,0), "")</f>
        <v>#NAME?</v>
      </c>
      <c r="H920" s="38"/>
    </row>
    <row r="921" spans="2:8" ht="15.75" customHeight="1" x14ac:dyDescent="0.2">
      <c r="B921" s="47"/>
      <c r="C921" s="34" t="str">
        <f t="shared" si="3"/>
        <v/>
      </c>
      <c r="D921" s="47"/>
      <c r="E921" s="52"/>
      <c r="F921" s="47"/>
      <c r="G921" s="36" t="e">
        <f ca="1">_xludf.IFNA(VLOOKUP(F921,'Category Setup'!B:D,3,0), "")</f>
        <v>#NAME?</v>
      </c>
      <c r="H921" s="47"/>
    </row>
    <row r="922" spans="2:8" ht="15.75" customHeight="1" x14ac:dyDescent="0.2">
      <c r="B922" s="38"/>
      <c r="C922" s="28" t="str">
        <f t="shared" si="3"/>
        <v/>
      </c>
      <c r="D922" s="38"/>
      <c r="E922" s="53"/>
      <c r="F922" s="38"/>
      <c r="G922" s="31" t="e">
        <f ca="1">_xludf.IFNA(VLOOKUP(F922,'Category Setup'!B:D,3,0), "")</f>
        <v>#NAME?</v>
      </c>
      <c r="H922" s="38"/>
    </row>
    <row r="923" spans="2:8" ht="15.75" customHeight="1" x14ac:dyDescent="0.2">
      <c r="B923" s="47"/>
      <c r="C923" s="34" t="str">
        <f t="shared" si="3"/>
        <v/>
      </c>
      <c r="D923" s="47"/>
      <c r="E923" s="52"/>
      <c r="F923" s="47"/>
      <c r="G923" s="36" t="e">
        <f ca="1">_xludf.IFNA(VLOOKUP(F923,'Category Setup'!B:D,3,0), "")</f>
        <v>#NAME?</v>
      </c>
      <c r="H923" s="47"/>
    </row>
    <row r="924" spans="2:8" ht="15.75" customHeight="1" x14ac:dyDescent="0.2">
      <c r="B924" s="38"/>
      <c r="C924" s="28" t="str">
        <f t="shared" si="3"/>
        <v/>
      </c>
      <c r="D924" s="38"/>
      <c r="E924" s="53"/>
      <c r="F924" s="38"/>
      <c r="G924" s="31" t="e">
        <f ca="1">_xludf.IFNA(VLOOKUP(F924,'Category Setup'!B:D,3,0), "")</f>
        <v>#NAME?</v>
      </c>
      <c r="H924" s="38"/>
    </row>
    <row r="925" spans="2:8" ht="15.75" customHeight="1" x14ac:dyDescent="0.2">
      <c r="B925" s="47"/>
      <c r="C925" s="34" t="str">
        <f t="shared" si="3"/>
        <v/>
      </c>
      <c r="D925" s="47"/>
      <c r="E925" s="52"/>
      <c r="F925" s="47"/>
      <c r="G925" s="36" t="e">
        <f ca="1">_xludf.IFNA(VLOOKUP(F925,'Category Setup'!B:D,3,0), "")</f>
        <v>#NAME?</v>
      </c>
      <c r="H925" s="47"/>
    </row>
    <row r="926" spans="2:8" ht="15.75" customHeight="1" x14ac:dyDescent="0.2">
      <c r="B926" s="38"/>
      <c r="C926" s="28" t="str">
        <f t="shared" si="3"/>
        <v/>
      </c>
      <c r="D926" s="38"/>
      <c r="E926" s="53"/>
      <c r="F926" s="38"/>
      <c r="G926" s="31" t="e">
        <f ca="1">_xludf.IFNA(VLOOKUP(F926,'Category Setup'!B:D,3,0), "")</f>
        <v>#NAME?</v>
      </c>
      <c r="H926" s="38"/>
    </row>
    <row r="927" spans="2:8" ht="15.75" customHeight="1" x14ac:dyDescent="0.2">
      <c r="B927" s="47"/>
      <c r="C927" s="34" t="str">
        <f t="shared" si="3"/>
        <v/>
      </c>
      <c r="D927" s="47"/>
      <c r="E927" s="52"/>
      <c r="F927" s="47"/>
      <c r="G927" s="36" t="e">
        <f ca="1">_xludf.IFNA(VLOOKUP(F927,'Category Setup'!B:D,3,0), "")</f>
        <v>#NAME?</v>
      </c>
      <c r="H927" s="47"/>
    </row>
    <row r="928" spans="2:8" ht="15.75" customHeight="1" x14ac:dyDescent="0.2">
      <c r="B928" s="38"/>
      <c r="C928" s="28" t="str">
        <f t="shared" si="3"/>
        <v/>
      </c>
      <c r="D928" s="38"/>
      <c r="E928" s="53"/>
      <c r="F928" s="38"/>
      <c r="G928" s="31" t="e">
        <f ca="1">_xludf.IFNA(VLOOKUP(F928,'Category Setup'!B:D,3,0), "")</f>
        <v>#NAME?</v>
      </c>
      <c r="H928" s="38"/>
    </row>
    <row r="929" spans="2:8" ht="15.75" customHeight="1" x14ac:dyDescent="0.2">
      <c r="B929" s="47"/>
      <c r="C929" s="34" t="str">
        <f t="shared" si="3"/>
        <v/>
      </c>
      <c r="D929" s="47"/>
      <c r="E929" s="52"/>
      <c r="F929" s="47"/>
      <c r="G929" s="36" t="e">
        <f ca="1">_xludf.IFNA(VLOOKUP(F929,'Category Setup'!B:D,3,0), "")</f>
        <v>#NAME?</v>
      </c>
      <c r="H929" s="47"/>
    </row>
    <row r="930" spans="2:8" ht="15.75" customHeight="1" x14ac:dyDescent="0.2">
      <c r="B930" s="38"/>
      <c r="C930" s="28" t="str">
        <f t="shared" si="3"/>
        <v/>
      </c>
      <c r="D930" s="38"/>
      <c r="E930" s="53"/>
      <c r="F930" s="38"/>
      <c r="G930" s="31" t="e">
        <f ca="1">_xludf.IFNA(VLOOKUP(F930,'Category Setup'!B:D,3,0), "")</f>
        <v>#NAME?</v>
      </c>
      <c r="H930" s="38"/>
    </row>
    <row r="931" spans="2:8" ht="15.75" customHeight="1" x14ac:dyDescent="0.2">
      <c r="B931" s="47"/>
      <c r="C931" s="34" t="str">
        <f t="shared" si="3"/>
        <v/>
      </c>
      <c r="D931" s="47"/>
      <c r="E931" s="52"/>
      <c r="F931" s="47"/>
      <c r="G931" s="36" t="e">
        <f ca="1">_xludf.IFNA(VLOOKUP(F931,'Category Setup'!B:D,3,0), "")</f>
        <v>#NAME?</v>
      </c>
      <c r="H931" s="47"/>
    </row>
    <row r="932" spans="2:8" ht="15.75" customHeight="1" x14ac:dyDescent="0.2">
      <c r="B932" s="38"/>
      <c r="C932" s="28" t="str">
        <f t="shared" si="3"/>
        <v/>
      </c>
      <c r="D932" s="38"/>
      <c r="E932" s="53"/>
      <c r="F932" s="38"/>
      <c r="G932" s="31" t="e">
        <f ca="1">_xludf.IFNA(VLOOKUP(F932,'Category Setup'!B:D,3,0), "")</f>
        <v>#NAME?</v>
      </c>
      <c r="H932" s="38"/>
    </row>
    <row r="933" spans="2:8" ht="15.75" customHeight="1" x14ac:dyDescent="0.2">
      <c r="B933" s="47"/>
      <c r="C933" s="34" t="str">
        <f t="shared" si="3"/>
        <v/>
      </c>
      <c r="D933" s="47"/>
      <c r="E933" s="52"/>
      <c r="F933" s="47"/>
      <c r="G933" s="36" t="e">
        <f ca="1">_xludf.IFNA(VLOOKUP(F933,'Category Setup'!B:D,3,0), "")</f>
        <v>#NAME?</v>
      </c>
      <c r="H933" s="47"/>
    </row>
    <row r="934" spans="2:8" ht="15.75" customHeight="1" x14ac:dyDescent="0.2">
      <c r="B934" s="38"/>
      <c r="C934" s="28" t="str">
        <f t="shared" si="3"/>
        <v/>
      </c>
      <c r="D934" s="38"/>
      <c r="E934" s="53"/>
      <c r="F934" s="38"/>
      <c r="G934" s="31" t="e">
        <f ca="1">_xludf.IFNA(VLOOKUP(F934,'Category Setup'!B:D,3,0), "")</f>
        <v>#NAME?</v>
      </c>
      <c r="H934" s="38"/>
    </row>
    <row r="935" spans="2:8" ht="15.75" customHeight="1" x14ac:dyDescent="0.2">
      <c r="B935" s="47"/>
      <c r="C935" s="34" t="str">
        <f t="shared" si="3"/>
        <v/>
      </c>
      <c r="D935" s="47"/>
      <c r="E935" s="52"/>
      <c r="F935" s="47"/>
      <c r="G935" s="36" t="e">
        <f ca="1">_xludf.IFNA(VLOOKUP(F935,'Category Setup'!B:D,3,0), "")</f>
        <v>#NAME?</v>
      </c>
      <c r="H935" s="47"/>
    </row>
    <row r="936" spans="2:8" ht="15.75" customHeight="1" x14ac:dyDescent="0.2">
      <c r="B936" s="38"/>
      <c r="C936" s="28" t="str">
        <f t="shared" si="3"/>
        <v/>
      </c>
      <c r="D936" s="38"/>
      <c r="E936" s="53"/>
      <c r="F936" s="38"/>
      <c r="G936" s="31" t="e">
        <f ca="1">_xludf.IFNA(VLOOKUP(F936,'Category Setup'!B:D,3,0), "")</f>
        <v>#NAME?</v>
      </c>
      <c r="H936" s="38"/>
    </row>
    <row r="937" spans="2:8" ht="15.75" customHeight="1" x14ac:dyDescent="0.2">
      <c r="B937" s="47"/>
      <c r="C937" s="34" t="str">
        <f t="shared" si="3"/>
        <v/>
      </c>
      <c r="D937" s="47"/>
      <c r="E937" s="52"/>
      <c r="F937" s="47"/>
      <c r="G937" s="36" t="e">
        <f ca="1">_xludf.IFNA(VLOOKUP(F937,'Category Setup'!B:D,3,0), "")</f>
        <v>#NAME?</v>
      </c>
      <c r="H937" s="47"/>
    </row>
    <row r="938" spans="2:8" ht="15.75" customHeight="1" x14ac:dyDescent="0.2">
      <c r="B938" s="38"/>
      <c r="C938" s="28" t="str">
        <f t="shared" si="3"/>
        <v/>
      </c>
      <c r="D938" s="38"/>
      <c r="E938" s="53"/>
      <c r="F938" s="38"/>
      <c r="G938" s="31" t="e">
        <f ca="1">_xludf.IFNA(VLOOKUP(F938,'Category Setup'!B:D,3,0), "")</f>
        <v>#NAME?</v>
      </c>
      <c r="H938" s="38"/>
    </row>
    <row r="939" spans="2:8" ht="15.75" customHeight="1" x14ac:dyDescent="0.2">
      <c r="B939" s="47"/>
      <c r="C939" s="34" t="str">
        <f t="shared" si="3"/>
        <v/>
      </c>
      <c r="D939" s="47"/>
      <c r="E939" s="52"/>
      <c r="F939" s="47"/>
      <c r="G939" s="36" t="e">
        <f ca="1">_xludf.IFNA(VLOOKUP(F939,'Category Setup'!B:D,3,0), "")</f>
        <v>#NAME?</v>
      </c>
      <c r="H939" s="47"/>
    </row>
    <row r="940" spans="2:8" ht="15.75" customHeight="1" x14ac:dyDescent="0.2">
      <c r="B940" s="38"/>
      <c r="C940" s="28" t="str">
        <f t="shared" si="3"/>
        <v/>
      </c>
      <c r="D940" s="38"/>
      <c r="E940" s="53"/>
      <c r="F940" s="38"/>
      <c r="G940" s="31" t="e">
        <f ca="1">_xludf.IFNA(VLOOKUP(F940,'Category Setup'!B:D,3,0), "")</f>
        <v>#NAME?</v>
      </c>
      <c r="H940" s="38"/>
    </row>
    <row r="941" spans="2:8" ht="15.75" customHeight="1" x14ac:dyDescent="0.2">
      <c r="B941" s="47"/>
      <c r="C941" s="34" t="str">
        <f t="shared" si="3"/>
        <v/>
      </c>
      <c r="D941" s="47"/>
      <c r="E941" s="52"/>
      <c r="F941" s="47"/>
      <c r="G941" s="36" t="e">
        <f ca="1">_xludf.IFNA(VLOOKUP(F941,'Category Setup'!B:D,3,0), "")</f>
        <v>#NAME?</v>
      </c>
      <c r="H941" s="47"/>
    </row>
    <row r="942" spans="2:8" ht="15.75" customHeight="1" x14ac:dyDescent="0.2">
      <c r="B942" s="38"/>
      <c r="C942" s="28" t="str">
        <f t="shared" si="3"/>
        <v/>
      </c>
      <c r="D942" s="38"/>
      <c r="E942" s="53"/>
      <c r="F942" s="38"/>
      <c r="G942" s="31" t="e">
        <f ca="1">_xludf.IFNA(VLOOKUP(F942,'Category Setup'!B:D,3,0), "")</f>
        <v>#NAME?</v>
      </c>
      <c r="H942" s="38"/>
    </row>
    <row r="943" spans="2:8" ht="15.75" customHeight="1" x14ac:dyDescent="0.2">
      <c r="B943" s="47"/>
      <c r="C943" s="34" t="str">
        <f t="shared" si="3"/>
        <v/>
      </c>
      <c r="D943" s="47"/>
      <c r="E943" s="52"/>
      <c r="F943" s="47"/>
      <c r="G943" s="36" t="e">
        <f ca="1">_xludf.IFNA(VLOOKUP(F943,'Category Setup'!B:D,3,0), "")</f>
        <v>#NAME?</v>
      </c>
      <c r="H943" s="47"/>
    </row>
    <row r="944" spans="2:8" ht="15.75" customHeight="1" x14ac:dyDescent="0.2">
      <c r="B944" s="38"/>
      <c r="C944" s="28" t="str">
        <f t="shared" si="3"/>
        <v/>
      </c>
      <c r="D944" s="38"/>
      <c r="E944" s="53"/>
      <c r="F944" s="38"/>
      <c r="G944" s="31" t="e">
        <f ca="1">_xludf.IFNA(VLOOKUP(F944,'Category Setup'!B:D,3,0), "")</f>
        <v>#NAME?</v>
      </c>
      <c r="H944" s="38"/>
    </row>
    <row r="945" spans="2:8" ht="15.75" customHeight="1" x14ac:dyDescent="0.2">
      <c r="B945" s="47"/>
      <c r="C945" s="34" t="str">
        <f t="shared" si="3"/>
        <v/>
      </c>
      <c r="D945" s="47"/>
      <c r="E945" s="52"/>
      <c r="F945" s="47"/>
      <c r="G945" s="36" t="e">
        <f ca="1">_xludf.IFNA(VLOOKUP(F945,'Category Setup'!B:D,3,0), "")</f>
        <v>#NAME?</v>
      </c>
      <c r="H945" s="47"/>
    </row>
    <row r="946" spans="2:8" ht="15.75" customHeight="1" x14ac:dyDescent="0.2">
      <c r="B946" s="38"/>
      <c r="C946" s="28" t="str">
        <f t="shared" si="3"/>
        <v/>
      </c>
      <c r="D946" s="38"/>
      <c r="E946" s="53"/>
      <c r="F946" s="38"/>
      <c r="G946" s="31" t="e">
        <f ca="1">_xludf.IFNA(VLOOKUP(F946,'Category Setup'!B:D,3,0), "")</f>
        <v>#NAME?</v>
      </c>
      <c r="H946" s="38"/>
    </row>
    <row r="947" spans="2:8" ht="15.75" customHeight="1" x14ac:dyDescent="0.2">
      <c r="B947" s="47"/>
      <c r="C947" s="34" t="str">
        <f t="shared" si="3"/>
        <v/>
      </c>
      <c r="D947" s="47"/>
      <c r="E947" s="52"/>
      <c r="F947" s="47"/>
      <c r="G947" s="36" t="e">
        <f ca="1">_xludf.IFNA(VLOOKUP(F947,'Category Setup'!B:D,3,0), "")</f>
        <v>#NAME?</v>
      </c>
      <c r="H947" s="47"/>
    </row>
    <row r="948" spans="2:8" ht="15.75" customHeight="1" x14ac:dyDescent="0.2">
      <c r="B948" s="38"/>
      <c r="C948" s="28" t="str">
        <f t="shared" si="3"/>
        <v/>
      </c>
      <c r="D948" s="38"/>
      <c r="E948" s="53"/>
      <c r="F948" s="38"/>
      <c r="G948" s="31" t="e">
        <f ca="1">_xludf.IFNA(VLOOKUP(F948,'Category Setup'!B:D,3,0), "")</f>
        <v>#NAME?</v>
      </c>
      <c r="H948" s="38"/>
    </row>
    <row r="949" spans="2:8" ht="15.75" customHeight="1" x14ac:dyDescent="0.2">
      <c r="B949" s="47"/>
      <c r="C949" s="34" t="str">
        <f t="shared" si="3"/>
        <v/>
      </c>
      <c r="D949" s="47"/>
      <c r="E949" s="52"/>
      <c r="F949" s="47"/>
      <c r="G949" s="36" t="e">
        <f ca="1">_xludf.IFNA(VLOOKUP(F949,'Category Setup'!B:D,3,0), "")</f>
        <v>#NAME?</v>
      </c>
      <c r="H949" s="47"/>
    </row>
    <row r="950" spans="2:8" ht="15.75" customHeight="1" x14ac:dyDescent="0.2">
      <c r="B950" s="38"/>
      <c r="C950" s="28" t="str">
        <f t="shared" si="3"/>
        <v/>
      </c>
      <c r="D950" s="38"/>
      <c r="E950" s="53"/>
      <c r="F950" s="38"/>
      <c r="G950" s="31" t="e">
        <f ca="1">_xludf.IFNA(VLOOKUP(F950,'Category Setup'!B:D,3,0), "")</f>
        <v>#NAME?</v>
      </c>
      <c r="H950" s="38"/>
    </row>
    <row r="951" spans="2:8" ht="15.75" customHeight="1" x14ac:dyDescent="0.2">
      <c r="B951" s="47"/>
      <c r="C951" s="34" t="str">
        <f t="shared" si="3"/>
        <v/>
      </c>
      <c r="D951" s="47"/>
      <c r="E951" s="52"/>
      <c r="F951" s="47"/>
      <c r="G951" s="36" t="e">
        <f ca="1">_xludf.IFNA(VLOOKUP(F951,'Category Setup'!B:D,3,0), "")</f>
        <v>#NAME?</v>
      </c>
      <c r="H951" s="47"/>
    </row>
    <row r="952" spans="2:8" ht="15.75" customHeight="1" x14ac:dyDescent="0.2">
      <c r="B952" s="38"/>
      <c r="C952" s="28" t="str">
        <f t="shared" si="3"/>
        <v/>
      </c>
      <c r="D952" s="38"/>
      <c r="E952" s="53"/>
      <c r="F952" s="38"/>
      <c r="G952" s="31" t="e">
        <f ca="1">_xludf.IFNA(VLOOKUP(F952,'Category Setup'!B:D,3,0), "")</f>
        <v>#NAME?</v>
      </c>
      <c r="H952" s="38"/>
    </row>
    <row r="953" spans="2:8" ht="15.75" customHeight="1" x14ac:dyDescent="0.2">
      <c r="B953" s="47"/>
      <c r="C953" s="34" t="str">
        <f t="shared" si="3"/>
        <v/>
      </c>
      <c r="D953" s="47"/>
      <c r="E953" s="52"/>
      <c r="F953" s="47"/>
      <c r="G953" s="36" t="e">
        <f ca="1">_xludf.IFNA(VLOOKUP(F953,'Category Setup'!B:D,3,0), "")</f>
        <v>#NAME?</v>
      </c>
      <c r="H953" s="47"/>
    </row>
    <row r="954" spans="2:8" ht="15.75" customHeight="1" x14ac:dyDescent="0.2">
      <c r="B954" s="38"/>
      <c r="C954" s="28" t="str">
        <f t="shared" si="3"/>
        <v/>
      </c>
      <c r="D954" s="38"/>
      <c r="E954" s="53"/>
      <c r="F954" s="38"/>
      <c r="G954" s="31" t="e">
        <f ca="1">_xludf.IFNA(VLOOKUP(F954,'Category Setup'!B:D,3,0), "")</f>
        <v>#NAME?</v>
      </c>
      <c r="H954" s="38"/>
    </row>
    <row r="955" spans="2:8" ht="15.75" customHeight="1" x14ac:dyDescent="0.2">
      <c r="B955" s="47"/>
      <c r="C955" s="34" t="str">
        <f t="shared" si="3"/>
        <v/>
      </c>
      <c r="D955" s="47"/>
      <c r="E955" s="52"/>
      <c r="F955" s="47"/>
      <c r="G955" s="36" t="e">
        <f ca="1">_xludf.IFNA(VLOOKUP(F955,'Category Setup'!B:D,3,0), "")</f>
        <v>#NAME?</v>
      </c>
      <c r="H955" s="47"/>
    </row>
    <row r="956" spans="2:8" ht="15.75" customHeight="1" x14ac:dyDescent="0.2">
      <c r="B956" s="38"/>
      <c r="C956" s="28" t="str">
        <f t="shared" si="3"/>
        <v/>
      </c>
      <c r="D956" s="38"/>
      <c r="E956" s="53"/>
      <c r="F956" s="38"/>
      <c r="G956" s="31" t="e">
        <f ca="1">_xludf.IFNA(VLOOKUP(F956,'Category Setup'!B:D,3,0), "")</f>
        <v>#NAME?</v>
      </c>
      <c r="H956" s="38"/>
    </row>
    <row r="957" spans="2:8" ht="15.75" customHeight="1" x14ac:dyDescent="0.2">
      <c r="B957" s="47"/>
      <c r="C957" s="34" t="str">
        <f t="shared" si="3"/>
        <v/>
      </c>
      <c r="D957" s="47"/>
      <c r="E957" s="52"/>
      <c r="F957" s="47"/>
      <c r="G957" s="36" t="e">
        <f ca="1">_xludf.IFNA(VLOOKUP(F957,'Category Setup'!B:D,3,0), "")</f>
        <v>#NAME?</v>
      </c>
      <c r="H957" s="47"/>
    </row>
    <row r="958" spans="2:8" ht="15.75" customHeight="1" x14ac:dyDescent="0.2">
      <c r="B958" s="38"/>
      <c r="C958" s="28" t="str">
        <f t="shared" si="3"/>
        <v/>
      </c>
      <c r="D958" s="38"/>
      <c r="E958" s="53"/>
      <c r="F958" s="38"/>
      <c r="G958" s="31" t="e">
        <f ca="1">_xludf.IFNA(VLOOKUP(F958,'Category Setup'!B:D,3,0), "")</f>
        <v>#NAME?</v>
      </c>
      <c r="H958" s="38"/>
    </row>
    <row r="959" spans="2:8" ht="15.75" customHeight="1" x14ac:dyDescent="0.2">
      <c r="B959" s="47"/>
      <c r="C959" s="34" t="str">
        <f t="shared" si="3"/>
        <v/>
      </c>
      <c r="D959" s="47"/>
      <c r="E959" s="52"/>
      <c r="F959" s="47"/>
      <c r="G959" s="36" t="e">
        <f ca="1">_xludf.IFNA(VLOOKUP(F959,'Category Setup'!B:D,3,0), "")</f>
        <v>#NAME?</v>
      </c>
      <c r="H959" s="47"/>
    </row>
    <row r="960" spans="2:8" ht="15.75" customHeight="1" x14ac:dyDescent="0.2">
      <c r="B960" s="38"/>
      <c r="C960" s="28" t="str">
        <f t="shared" si="3"/>
        <v/>
      </c>
      <c r="D960" s="38"/>
      <c r="E960" s="53"/>
      <c r="F960" s="38"/>
      <c r="G960" s="31" t="e">
        <f ca="1">_xludf.IFNA(VLOOKUP(F960,'Category Setup'!B:D,3,0), "")</f>
        <v>#NAME?</v>
      </c>
      <c r="H960" s="38"/>
    </row>
    <row r="961" spans="2:8" ht="15.75" customHeight="1" x14ac:dyDescent="0.2">
      <c r="B961" s="47"/>
      <c r="C961" s="34" t="str">
        <f t="shared" si="3"/>
        <v/>
      </c>
      <c r="D961" s="47"/>
      <c r="E961" s="52"/>
      <c r="F961" s="47"/>
      <c r="G961" s="36" t="e">
        <f ca="1">_xludf.IFNA(VLOOKUP(F961,'Category Setup'!B:D,3,0), "")</f>
        <v>#NAME?</v>
      </c>
      <c r="H961" s="47"/>
    </row>
    <row r="962" spans="2:8" ht="15.75" customHeight="1" x14ac:dyDescent="0.2">
      <c r="B962" s="38"/>
      <c r="C962" s="28" t="str">
        <f t="shared" si="3"/>
        <v/>
      </c>
      <c r="D962" s="38"/>
      <c r="E962" s="53"/>
      <c r="F962" s="38"/>
      <c r="G962" s="31" t="e">
        <f ca="1">_xludf.IFNA(VLOOKUP(F962,'Category Setup'!B:D,3,0), "")</f>
        <v>#NAME?</v>
      </c>
      <c r="H962" s="38"/>
    </row>
    <row r="963" spans="2:8" ht="15.75" customHeight="1" x14ac:dyDescent="0.2">
      <c r="B963" s="47"/>
      <c r="C963" s="34" t="str">
        <f t="shared" si="3"/>
        <v/>
      </c>
      <c r="D963" s="47"/>
      <c r="E963" s="52"/>
      <c r="F963" s="47"/>
      <c r="G963" s="36" t="e">
        <f ca="1">_xludf.IFNA(VLOOKUP(F963,'Category Setup'!B:D,3,0), "")</f>
        <v>#NAME?</v>
      </c>
      <c r="H963" s="47"/>
    </row>
    <row r="964" spans="2:8" ht="15.75" customHeight="1" x14ac:dyDescent="0.2">
      <c r="B964" s="38"/>
      <c r="C964" s="28" t="str">
        <f t="shared" si="3"/>
        <v/>
      </c>
      <c r="D964" s="38"/>
      <c r="E964" s="53"/>
      <c r="F964" s="38"/>
      <c r="G964" s="31" t="e">
        <f ca="1">_xludf.IFNA(VLOOKUP(F964,'Category Setup'!B:D,3,0), "")</f>
        <v>#NAME?</v>
      </c>
      <c r="H964" s="38"/>
    </row>
    <row r="965" spans="2:8" ht="15.75" customHeight="1" x14ac:dyDescent="0.2">
      <c r="B965" s="47"/>
      <c r="C965" s="34" t="str">
        <f t="shared" si="3"/>
        <v/>
      </c>
      <c r="D965" s="47"/>
      <c r="E965" s="52"/>
      <c r="F965" s="47"/>
      <c r="G965" s="36" t="e">
        <f ca="1">_xludf.IFNA(VLOOKUP(F965,'Category Setup'!B:D,3,0), "")</f>
        <v>#NAME?</v>
      </c>
      <c r="H965" s="47"/>
    </row>
    <row r="966" spans="2:8" ht="15.75" customHeight="1" x14ac:dyDescent="0.2">
      <c r="B966" s="38"/>
      <c r="C966" s="28" t="str">
        <f t="shared" si="3"/>
        <v/>
      </c>
      <c r="D966" s="38"/>
      <c r="E966" s="53"/>
      <c r="F966" s="38"/>
      <c r="G966" s="31" t="e">
        <f ca="1">_xludf.IFNA(VLOOKUP(F966,'Category Setup'!B:D,3,0), "")</f>
        <v>#NAME?</v>
      </c>
      <c r="H966" s="38"/>
    </row>
    <row r="967" spans="2:8" ht="15.75" customHeight="1" x14ac:dyDescent="0.2">
      <c r="B967" s="47"/>
      <c r="C967" s="34" t="str">
        <f t="shared" si="3"/>
        <v/>
      </c>
      <c r="D967" s="47"/>
      <c r="E967" s="52"/>
      <c r="F967" s="47"/>
      <c r="G967" s="36" t="e">
        <f ca="1">_xludf.IFNA(VLOOKUP(F967,'Category Setup'!B:D,3,0), "")</f>
        <v>#NAME?</v>
      </c>
      <c r="H967" s="47"/>
    </row>
    <row r="968" spans="2:8" ht="15.75" customHeight="1" x14ac:dyDescent="0.2">
      <c r="B968" s="38"/>
      <c r="C968" s="28" t="str">
        <f t="shared" si="3"/>
        <v/>
      </c>
      <c r="D968" s="38"/>
      <c r="E968" s="53"/>
      <c r="F968" s="38"/>
      <c r="G968" s="31" t="e">
        <f ca="1">_xludf.IFNA(VLOOKUP(F968,'Category Setup'!B:D,3,0), "")</f>
        <v>#NAME?</v>
      </c>
      <c r="H968" s="38"/>
    </row>
    <row r="969" spans="2:8" ht="15.75" customHeight="1" x14ac:dyDescent="0.2">
      <c r="B969" s="47"/>
      <c r="C969" s="34" t="str">
        <f t="shared" si="3"/>
        <v/>
      </c>
      <c r="D969" s="47"/>
      <c r="E969" s="52"/>
      <c r="F969" s="47"/>
      <c r="G969" s="36" t="e">
        <f ca="1">_xludf.IFNA(VLOOKUP(F969,'Category Setup'!B:D,3,0), "")</f>
        <v>#NAME?</v>
      </c>
      <c r="H969" s="47"/>
    </row>
    <row r="970" spans="2:8" ht="15.75" customHeight="1" x14ac:dyDescent="0.2">
      <c r="B970" s="38"/>
      <c r="C970" s="28" t="str">
        <f t="shared" si="3"/>
        <v/>
      </c>
      <c r="D970" s="38"/>
      <c r="E970" s="53"/>
      <c r="F970" s="38"/>
      <c r="G970" s="31" t="e">
        <f ca="1">_xludf.IFNA(VLOOKUP(F970,'Category Setup'!B:D,3,0), "")</f>
        <v>#NAME?</v>
      </c>
      <c r="H970" s="38"/>
    </row>
    <row r="971" spans="2:8" ht="15.75" customHeight="1" x14ac:dyDescent="0.2">
      <c r="B971" s="47"/>
      <c r="C971" s="34" t="str">
        <f t="shared" si="3"/>
        <v/>
      </c>
      <c r="D971" s="47"/>
      <c r="E971" s="52"/>
      <c r="F971" s="47"/>
      <c r="G971" s="36" t="e">
        <f ca="1">_xludf.IFNA(VLOOKUP(F971,'Category Setup'!B:D,3,0), "")</f>
        <v>#NAME?</v>
      </c>
      <c r="H971" s="47"/>
    </row>
    <row r="972" spans="2:8" ht="15.75" customHeight="1" x14ac:dyDescent="0.2">
      <c r="B972" s="38"/>
      <c r="C972" s="28" t="str">
        <f t="shared" si="3"/>
        <v/>
      </c>
      <c r="D972" s="38"/>
      <c r="E972" s="53"/>
      <c r="F972" s="38"/>
      <c r="G972" s="31" t="e">
        <f ca="1">_xludf.IFNA(VLOOKUP(F972,'Category Setup'!B:D,3,0), "")</f>
        <v>#NAME?</v>
      </c>
      <c r="H972" s="38"/>
    </row>
    <row r="973" spans="2:8" ht="15.75" customHeight="1" x14ac:dyDescent="0.2">
      <c r="B973" s="47"/>
      <c r="C973" s="34" t="str">
        <f t="shared" si="3"/>
        <v/>
      </c>
      <c r="D973" s="47"/>
      <c r="E973" s="52"/>
      <c r="F973" s="47"/>
      <c r="G973" s="36" t="e">
        <f ca="1">_xludf.IFNA(VLOOKUP(F973,'Category Setup'!B:D,3,0), "")</f>
        <v>#NAME?</v>
      </c>
      <c r="H973" s="47"/>
    </row>
    <row r="974" spans="2:8" ht="15.75" customHeight="1" x14ac:dyDescent="0.2">
      <c r="B974" s="38"/>
      <c r="C974" s="28" t="str">
        <f t="shared" si="3"/>
        <v/>
      </c>
      <c r="D974" s="38"/>
      <c r="E974" s="53"/>
      <c r="F974" s="38"/>
      <c r="G974" s="31" t="e">
        <f ca="1">_xludf.IFNA(VLOOKUP(F974,'Category Setup'!B:D,3,0), "")</f>
        <v>#NAME?</v>
      </c>
      <c r="H974" s="38"/>
    </row>
    <row r="975" spans="2:8" ht="15.75" customHeight="1" x14ac:dyDescent="0.2">
      <c r="B975" s="47"/>
      <c r="C975" s="34" t="str">
        <f t="shared" si="3"/>
        <v/>
      </c>
      <c r="D975" s="47"/>
      <c r="E975" s="52"/>
      <c r="F975" s="47"/>
      <c r="G975" s="36" t="e">
        <f ca="1">_xludf.IFNA(VLOOKUP(F975,'Category Setup'!B:D,3,0), "")</f>
        <v>#NAME?</v>
      </c>
      <c r="H975" s="47"/>
    </row>
    <row r="976" spans="2:8" ht="15.75" customHeight="1" x14ac:dyDescent="0.2">
      <c r="B976" s="38"/>
      <c r="C976" s="28" t="str">
        <f t="shared" si="3"/>
        <v/>
      </c>
      <c r="D976" s="38"/>
      <c r="E976" s="53"/>
      <c r="F976" s="38"/>
      <c r="G976" s="31" t="e">
        <f ca="1">_xludf.IFNA(VLOOKUP(F976,'Category Setup'!B:D,3,0), "")</f>
        <v>#NAME?</v>
      </c>
      <c r="H976" s="38"/>
    </row>
    <row r="977" spans="2:8" ht="15.75" customHeight="1" x14ac:dyDescent="0.2">
      <c r="B977" s="47"/>
      <c r="C977" s="34" t="str">
        <f t="shared" si="3"/>
        <v/>
      </c>
      <c r="D977" s="47"/>
      <c r="E977" s="52"/>
      <c r="F977" s="47"/>
      <c r="G977" s="36" t="e">
        <f ca="1">_xludf.IFNA(VLOOKUP(F977,'Category Setup'!B:D,3,0), "")</f>
        <v>#NAME?</v>
      </c>
      <c r="H977" s="47"/>
    </row>
    <row r="978" spans="2:8" ht="15.75" customHeight="1" x14ac:dyDescent="0.2">
      <c r="B978" s="38"/>
      <c r="C978" s="28" t="str">
        <f t="shared" si="3"/>
        <v/>
      </c>
      <c r="D978" s="38"/>
      <c r="E978" s="53"/>
      <c r="F978" s="38"/>
      <c r="G978" s="31" t="e">
        <f ca="1">_xludf.IFNA(VLOOKUP(F978,'Category Setup'!B:D,3,0), "")</f>
        <v>#NAME?</v>
      </c>
      <c r="H978" s="38"/>
    </row>
    <row r="979" spans="2:8" ht="15.75" customHeight="1" x14ac:dyDescent="0.2">
      <c r="B979" s="47"/>
      <c r="C979" s="34" t="str">
        <f t="shared" si="3"/>
        <v/>
      </c>
      <c r="D979" s="47"/>
      <c r="E979" s="52"/>
      <c r="F979" s="47"/>
      <c r="G979" s="36" t="e">
        <f ca="1">_xludf.IFNA(VLOOKUP(F979,'Category Setup'!B:D,3,0), "")</f>
        <v>#NAME?</v>
      </c>
      <c r="H979" s="47"/>
    </row>
    <row r="980" spans="2:8" ht="15.75" customHeight="1" x14ac:dyDescent="0.2">
      <c r="B980" s="38"/>
      <c r="C980" s="28" t="str">
        <f t="shared" si="3"/>
        <v/>
      </c>
      <c r="D980" s="38"/>
      <c r="E980" s="53"/>
      <c r="F980" s="38"/>
      <c r="G980" s="31" t="e">
        <f ca="1">_xludf.IFNA(VLOOKUP(F980,'Category Setup'!B:D,3,0), "")</f>
        <v>#NAME?</v>
      </c>
      <c r="H980" s="38"/>
    </row>
    <row r="981" spans="2:8" ht="15.75" customHeight="1" x14ac:dyDescent="0.2">
      <c r="B981" s="47"/>
      <c r="C981" s="34" t="str">
        <f t="shared" si="3"/>
        <v/>
      </c>
      <c r="D981" s="47"/>
      <c r="E981" s="52"/>
      <c r="F981" s="47"/>
      <c r="G981" s="36" t="e">
        <f ca="1">_xludf.IFNA(VLOOKUP(F981,'Category Setup'!B:D,3,0), "")</f>
        <v>#NAME?</v>
      </c>
      <c r="H981" s="47"/>
    </row>
    <row r="982" spans="2:8" ht="15.75" customHeight="1" x14ac:dyDescent="0.2">
      <c r="B982" s="38"/>
      <c r="C982" s="28" t="str">
        <f t="shared" si="3"/>
        <v/>
      </c>
      <c r="D982" s="38"/>
      <c r="E982" s="53"/>
      <c r="F982" s="38"/>
      <c r="G982" s="31" t="e">
        <f ca="1">_xludf.IFNA(VLOOKUP(F982,'Category Setup'!B:D,3,0), "")</f>
        <v>#NAME?</v>
      </c>
      <c r="H982" s="38"/>
    </row>
    <row r="983" spans="2:8" ht="15.75" customHeight="1" x14ac:dyDescent="0.2">
      <c r="B983" s="47"/>
      <c r="C983" s="34" t="str">
        <f t="shared" si="3"/>
        <v/>
      </c>
      <c r="D983" s="47"/>
      <c r="E983" s="52"/>
      <c r="F983" s="47"/>
      <c r="G983" s="36" t="e">
        <f ca="1">_xludf.IFNA(VLOOKUP(F983,'Category Setup'!B:D,3,0), "")</f>
        <v>#NAME?</v>
      </c>
      <c r="H983" s="47"/>
    </row>
    <row r="984" spans="2:8" ht="15.75" customHeight="1" x14ac:dyDescent="0.2">
      <c r="B984" s="38"/>
      <c r="C984" s="28" t="str">
        <f t="shared" si="3"/>
        <v/>
      </c>
      <c r="D984" s="38"/>
      <c r="E984" s="53"/>
      <c r="F984" s="38"/>
      <c r="G984" s="31" t="e">
        <f ca="1">_xludf.IFNA(VLOOKUP(F984,'Category Setup'!B:D,3,0), "")</f>
        <v>#NAME?</v>
      </c>
      <c r="H984" s="38"/>
    </row>
    <row r="985" spans="2:8" ht="15.75" customHeight="1" x14ac:dyDescent="0.2">
      <c r="B985" s="47"/>
      <c r="C985" s="34" t="str">
        <f t="shared" si="3"/>
        <v/>
      </c>
      <c r="D985" s="47"/>
      <c r="E985" s="52"/>
      <c r="F985" s="47"/>
      <c r="G985" s="36" t="e">
        <f ca="1">_xludf.IFNA(VLOOKUP(F985,'Category Setup'!B:D,3,0), "")</f>
        <v>#NAME?</v>
      </c>
      <c r="H985" s="47"/>
    </row>
    <row r="986" spans="2:8" ht="15.75" customHeight="1" x14ac:dyDescent="0.2">
      <c r="B986" s="38"/>
      <c r="C986" s="28" t="str">
        <f t="shared" si="3"/>
        <v/>
      </c>
      <c r="D986" s="38"/>
      <c r="E986" s="53"/>
      <c r="F986" s="38"/>
      <c r="G986" s="31" t="e">
        <f ca="1">_xludf.IFNA(VLOOKUP(F986,'Category Setup'!B:D,3,0), "")</f>
        <v>#NAME?</v>
      </c>
      <c r="H986" s="38"/>
    </row>
    <row r="987" spans="2:8" ht="15.75" customHeight="1" x14ac:dyDescent="0.2">
      <c r="B987" s="47"/>
      <c r="C987" s="34" t="str">
        <f t="shared" si="3"/>
        <v/>
      </c>
      <c r="D987" s="47"/>
      <c r="E987" s="52"/>
      <c r="F987" s="47"/>
      <c r="G987" s="36" t="e">
        <f ca="1">_xludf.IFNA(VLOOKUP(F987,'Category Setup'!B:D,3,0), "")</f>
        <v>#NAME?</v>
      </c>
      <c r="H987" s="47"/>
    </row>
    <row r="988" spans="2:8" ht="15.75" customHeight="1" x14ac:dyDescent="0.2">
      <c r="B988" s="38"/>
      <c r="C988" s="28" t="str">
        <f t="shared" si="3"/>
        <v/>
      </c>
      <c r="D988" s="38"/>
      <c r="E988" s="53"/>
      <c r="F988" s="38"/>
      <c r="G988" s="31" t="e">
        <f ca="1">_xludf.IFNA(VLOOKUP(F988,'Category Setup'!B:D,3,0), "")</f>
        <v>#NAME?</v>
      </c>
      <c r="H988" s="38"/>
    </row>
    <row r="989" spans="2:8" ht="15.75" customHeight="1" x14ac:dyDescent="0.2">
      <c r="B989" s="47"/>
      <c r="C989" s="34" t="str">
        <f t="shared" si="3"/>
        <v/>
      </c>
      <c r="D989" s="47"/>
      <c r="E989" s="52"/>
      <c r="F989" s="47"/>
      <c r="G989" s="36" t="e">
        <f ca="1">_xludf.IFNA(VLOOKUP(F989,'Category Setup'!B:D,3,0), "")</f>
        <v>#NAME?</v>
      </c>
      <c r="H989" s="47"/>
    </row>
    <row r="990" spans="2:8" ht="15.75" customHeight="1" x14ac:dyDescent="0.2">
      <c r="B990" s="38"/>
      <c r="C990" s="28" t="str">
        <f t="shared" si="3"/>
        <v/>
      </c>
      <c r="D990" s="38"/>
      <c r="E990" s="53"/>
      <c r="F990" s="38"/>
      <c r="G990" s="31" t="e">
        <f ca="1">_xludf.IFNA(VLOOKUP(F990,'Category Setup'!B:D,3,0), "")</f>
        <v>#NAME?</v>
      </c>
      <c r="H990" s="38"/>
    </row>
    <row r="991" spans="2:8" ht="15.75" customHeight="1" x14ac:dyDescent="0.2">
      <c r="B991" s="47"/>
      <c r="C991" s="34" t="str">
        <f t="shared" si="3"/>
        <v/>
      </c>
      <c r="D991" s="47"/>
      <c r="E991" s="52"/>
      <c r="F991" s="47"/>
      <c r="G991" s="36" t="e">
        <f ca="1">_xludf.IFNA(VLOOKUP(F991,'Category Setup'!B:D,3,0), "")</f>
        <v>#NAME?</v>
      </c>
      <c r="H991" s="47"/>
    </row>
    <row r="992" spans="2:8" ht="15.75" customHeight="1" x14ac:dyDescent="0.2">
      <c r="B992" s="38"/>
      <c r="C992" s="28" t="str">
        <f t="shared" si="3"/>
        <v/>
      </c>
      <c r="D992" s="38"/>
      <c r="E992" s="53"/>
      <c r="F992" s="38"/>
      <c r="G992" s="31" t="e">
        <f ca="1">_xludf.IFNA(VLOOKUP(F992,'Category Setup'!B:D,3,0), "")</f>
        <v>#NAME?</v>
      </c>
      <c r="H992" s="38"/>
    </row>
    <row r="993" spans="2:8" ht="15.75" customHeight="1" x14ac:dyDescent="0.2">
      <c r="B993" s="47"/>
      <c r="C993" s="34" t="str">
        <f t="shared" si="3"/>
        <v/>
      </c>
      <c r="D993" s="47"/>
      <c r="E993" s="52"/>
      <c r="F993" s="47"/>
      <c r="G993" s="36" t="e">
        <f ca="1">_xludf.IFNA(VLOOKUP(F993,'Category Setup'!B:D,3,0), "")</f>
        <v>#NAME?</v>
      </c>
      <c r="H993" s="47"/>
    </row>
    <row r="994" spans="2:8" ht="15.75" customHeight="1" x14ac:dyDescent="0.2">
      <c r="B994" s="38"/>
      <c r="C994" s="28" t="str">
        <f t="shared" si="3"/>
        <v/>
      </c>
      <c r="D994" s="38"/>
      <c r="E994" s="53"/>
      <c r="F994" s="38"/>
      <c r="G994" s="31" t="e">
        <f ca="1">_xludf.IFNA(VLOOKUP(F994,'Category Setup'!B:D,3,0), "")</f>
        <v>#NAME?</v>
      </c>
      <c r="H994" s="38"/>
    </row>
    <row r="995" spans="2:8" ht="15.75" customHeight="1" x14ac:dyDescent="0.2">
      <c r="B995" s="47"/>
      <c r="C995" s="34" t="str">
        <f t="shared" si="3"/>
        <v/>
      </c>
      <c r="D995" s="47"/>
      <c r="E995" s="52"/>
      <c r="F995" s="47"/>
      <c r="G995" s="36" t="e">
        <f ca="1">_xludf.IFNA(VLOOKUP(F995,'Category Setup'!B:D,3,0), "")</f>
        <v>#NAME?</v>
      </c>
      <c r="H995" s="47"/>
    </row>
    <row r="996" spans="2:8" ht="15.75" customHeight="1" x14ac:dyDescent="0.2">
      <c r="B996" s="38"/>
      <c r="C996" s="28" t="str">
        <f t="shared" si="3"/>
        <v/>
      </c>
      <c r="D996" s="38"/>
      <c r="E996" s="53"/>
      <c r="F996" s="38"/>
      <c r="G996" s="31" t="e">
        <f ca="1">_xludf.IFNA(VLOOKUP(F996,'Category Setup'!B:D,3,0), "")</f>
        <v>#NAME?</v>
      </c>
      <c r="H996" s="38"/>
    </row>
    <row r="997" spans="2:8" ht="15.75" customHeight="1" x14ac:dyDescent="0.2">
      <c r="B997" s="47"/>
      <c r="C997" s="34" t="str">
        <f t="shared" si="3"/>
        <v/>
      </c>
      <c r="D997" s="47"/>
      <c r="E997" s="52"/>
      <c r="F997" s="47"/>
      <c r="G997" s="36" t="e">
        <f ca="1">_xludf.IFNA(VLOOKUP(F997,'Category Setup'!B:D,3,0), "")</f>
        <v>#NAME?</v>
      </c>
      <c r="H997" s="47"/>
    </row>
  </sheetData>
  <autoFilter ref="B5:H997" xr:uid="{00000000-0009-0000-0000-000001000000}"/>
  <conditionalFormatting sqref="D165 D198 D228 D258 D295">
    <cfRule type="expression" dxfId="9" priority="1">
      <formula>$D165&lt;0</formula>
    </cfRule>
  </conditionalFormatting>
  <dataValidations count="3">
    <dataValidation type="custom" allowBlank="1" showDropDown="1" showInputMessage="1" showErrorMessage="1" prompt="Enter a valid date in MM-DD-YYYY format" sqref="B6:B997" xr:uid="{00000000-0002-0000-0100-000000000000}">
      <formula1>OR(NOT(ISERROR(DATEVALUE(B6))), AND(ISNUMBER(B6), LEFT(CELL("format", B6))="D"))</formula1>
    </dataValidation>
    <dataValidation type="decimal" allowBlank="1" showDropDown="1" showInputMessage="1" showErrorMessage="1" prompt="Enter a valid number" sqref="E6:E21 E23:E997" xr:uid="{00000000-0002-0000-0100-000001000000}">
      <formula1>-1000000000000</formula1>
      <formula2>1000000000000</formula2>
    </dataValidation>
    <dataValidation type="list" allowBlank="1" showInputMessage="1" showErrorMessage="1" prompt="Enter one of the expense categories from the &quot;Expense and Income Categories&quot; tab" sqref="F6:F997" xr:uid="{00000000-0002-0000-0100-000002000000}">
      <formula1>rangeExpenseCategories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B1:G986"/>
  <sheetViews>
    <sheetView showGridLines="0" workbookViewId="0">
      <pane ySplit="4" topLeftCell="A5" activePane="bottomLeft" state="frozen"/>
      <selection pane="bottomLeft" activeCell="E5" sqref="E5"/>
    </sheetView>
  </sheetViews>
  <sheetFormatPr defaultColWidth="12.5703125" defaultRowHeight="15" customHeight="1" x14ac:dyDescent="0.2"/>
  <cols>
    <col min="1" max="1" width="2.5703125" customWidth="1"/>
    <col min="2" max="5" width="28.28515625" customWidth="1"/>
    <col min="6" max="6" width="44.42578125" customWidth="1"/>
  </cols>
  <sheetData>
    <row r="1" spans="2:7" ht="7.5" customHeight="1" x14ac:dyDescent="0.2">
      <c r="D1" s="14"/>
      <c r="G1" s="16"/>
    </row>
    <row r="2" spans="2:7" ht="15.75" customHeight="1" x14ac:dyDescent="0.2">
      <c r="B2" s="17" t="s">
        <v>39</v>
      </c>
      <c r="C2" s="18"/>
      <c r="D2" s="19"/>
      <c r="E2" s="18"/>
      <c r="F2" s="18"/>
    </row>
    <row r="3" spans="2:7" ht="7.5" customHeight="1" x14ac:dyDescent="0.2">
      <c r="B3" s="21"/>
      <c r="C3" s="21"/>
      <c r="D3" s="22"/>
      <c r="E3" s="21"/>
      <c r="F3" s="21"/>
    </row>
    <row r="4" spans="2:7" ht="15.75" customHeight="1" x14ac:dyDescent="0.2">
      <c r="B4" s="24" t="s">
        <v>6</v>
      </c>
      <c r="C4" s="24" t="s">
        <v>40</v>
      </c>
      <c r="D4" s="25" t="s">
        <v>9</v>
      </c>
      <c r="E4" s="24" t="s">
        <v>41</v>
      </c>
      <c r="F4" s="24" t="s">
        <v>12</v>
      </c>
    </row>
    <row r="5" spans="2:7" ht="15.75" customHeight="1" x14ac:dyDescent="0.2">
      <c r="B5" s="27">
        <v>45717</v>
      </c>
      <c r="C5" s="28" t="s">
        <v>175</v>
      </c>
      <c r="D5" s="29">
        <v>300</v>
      </c>
      <c r="E5" s="28" t="s">
        <v>42</v>
      </c>
      <c r="F5" s="32" t="s">
        <v>43</v>
      </c>
    </row>
    <row r="6" spans="2:7" ht="15.75" customHeight="1" x14ac:dyDescent="0.2">
      <c r="B6" s="33"/>
      <c r="C6" s="40"/>
      <c r="D6" s="42"/>
      <c r="E6" s="40"/>
      <c r="F6" s="43"/>
    </row>
    <row r="7" spans="2:7" ht="15.75" customHeight="1" x14ac:dyDescent="0.2">
      <c r="B7" s="27"/>
      <c r="C7" s="30"/>
      <c r="D7" s="45"/>
      <c r="E7" s="30"/>
      <c r="F7" s="39"/>
    </row>
    <row r="8" spans="2:7" ht="15.75" customHeight="1" x14ac:dyDescent="0.2">
      <c r="B8" s="41"/>
      <c r="C8" s="34"/>
      <c r="D8" s="42"/>
      <c r="E8" s="43"/>
      <c r="F8" s="43"/>
    </row>
    <row r="9" spans="2:7" ht="15.75" customHeight="1" x14ac:dyDescent="0.2">
      <c r="B9" s="44"/>
      <c r="C9" s="30"/>
      <c r="D9" s="45"/>
      <c r="E9" s="30"/>
      <c r="F9" s="39"/>
    </row>
    <row r="10" spans="2:7" ht="15.75" customHeight="1" x14ac:dyDescent="0.2">
      <c r="B10" s="41"/>
      <c r="C10" s="40"/>
      <c r="D10" s="42"/>
      <c r="E10" s="40"/>
      <c r="F10" s="43"/>
    </row>
    <row r="11" spans="2:7" ht="15.75" customHeight="1" x14ac:dyDescent="0.2">
      <c r="B11" s="44"/>
      <c r="C11" s="39"/>
      <c r="D11" s="45"/>
      <c r="E11" s="39"/>
      <c r="F11" s="39"/>
    </row>
    <row r="12" spans="2:7" ht="15.75" customHeight="1" x14ac:dyDescent="0.2">
      <c r="B12" s="41"/>
      <c r="C12" s="43"/>
      <c r="D12" s="42"/>
      <c r="E12" s="43"/>
      <c r="F12" s="43"/>
    </row>
    <row r="13" spans="2:7" ht="15.75" customHeight="1" x14ac:dyDescent="0.2">
      <c r="B13" s="44"/>
      <c r="C13" s="39"/>
      <c r="D13" s="45"/>
      <c r="E13" s="39"/>
      <c r="F13" s="39"/>
    </row>
    <row r="14" spans="2:7" ht="15.75" customHeight="1" x14ac:dyDescent="0.2">
      <c r="B14" s="41"/>
      <c r="C14" s="43"/>
      <c r="D14" s="42"/>
      <c r="E14" s="43"/>
      <c r="F14" s="43"/>
    </row>
    <row r="15" spans="2:7" ht="15.75" customHeight="1" x14ac:dyDescent="0.2">
      <c r="B15" s="44"/>
      <c r="C15" s="39"/>
      <c r="D15" s="45"/>
      <c r="E15" s="39"/>
      <c r="F15" s="39"/>
    </row>
    <row r="16" spans="2:7" ht="15.75" customHeight="1" x14ac:dyDescent="0.2">
      <c r="B16" s="41"/>
      <c r="C16" s="43"/>
      <c r="D16" s="42"/>
      <c r="E16" s="43"/>
      <c r="F16" s="43"/>
    </row>
    <row r="17" spans="2:6" ht="15.75" customHeight="1" x14ac:dyDescent="0.2">
      <c r="B17" s="44"/>
      <c r="C17" s="39"/>
      <c r="D17" s="45"/>
      <c r="E17" s="39"/>
      <c r="F17" s="39"/>
    </row>
    <row r="18" spans="2:6" ht="15.75" customHeight="1" x14ac:dyDescent="0.2">
      <c r="B18" s="41"/>
      <c r="C18" s="43"/>
      <c r="D18" s="42"/>
      <c r="E18" s="43"/>
      <c r="F18" s="43"/>
    </row>
    <row r="19" spans="2:6" ht="15.75" customHeight="1" x14ac:dyDescent="0.2">
      <c r="B19" s="44"/>
      <c r="C19" s="39"/>
      <c r="D19" s="45"/>
      <c r="E19" s="39"/>
      <c r="F19" s="39"/>
    </row>
    <row r="20" spans="2:6" ht="15.75" customHeight="1" x14ac:dyDescent="0.2">
      <c r="B20" s="41"/>
      <c r="C20" s="43"/>
      <c r="D20" s="42"/>
      <c r="E20" s="43"/>
      <c r="F20" s="43"/>
    </row>
    <row r="21" spans="2:6" ht="15.75" customHeight="1" x14ac:dyDescent="0.2">
      <c r="B21" s="44"/>
      <c r="C21" s="39"/>
      <c r="D21" s="45"/>
      <c r="E21" s="39"/>
      <c r="F21" s="39"/>
    </row>
    <row r="22" spans="2:6" ht="15.75" customHeight="1" x14ac:dyDescent="0.2">
      <c r="B22" s="41"/>
      <c r="C22" s="43"/>
      <c r="D22" s="42"/>
      <c r="E22" s="43"/>
      <c r="F22" s="43"/>
    </row>
    <row r="23" spans="2:6" ht="15.75" customHeight="1" x14ac:dyDescent="0.2">
      <c r="B23" s="44"/>
      <c r="C23" s="39"/>
      <c r="D23" s="45"/>
      <c r="E23" s="39"/>
      <c r="F23" s="39"/>
    </row>
    <row r="24" spans="2:6" ht="15.75" customHeight="1" x14ac:dyDescent="0.2">
      <c r="B24" s="41"/>
      <c r="C24" s="43"/>
      <c r="D24" s="42"/>
      <c r="E24" s="43"/>
      <c r="F24" s="43"/>
    </row>
    <row r="25" spans="2:6" ht="15.75" customHeight="1" x14ac:dyDescent="0.2">
      <c r="B25" s="44"/>
      <c r="C25" s="39"/>
      <c r="D25" s="45"/>
      <c r="E25" s="39"/>
      <c r="F25" s="39"/>
    </row>
    <row r="26" spans="2:6" ht="15.75" customHeight="1" x14ac:dyDescent="0.2">
      <c r="B26" s="41"/>
      <c r="C26" s="43"/>
      <c r="D26" s="42"/>
      <c r="E26" s="43"/>
      <c r="F26" s="43"/>
    </row>
    <row r="27" spans="2:6" ht="15.75" customHeight="1" x14ac:dyDescent="0.2">
      <c r="B27" s="44"/>
      <c r="C27" s="39"/>
      <c r="D27" s="45"/>
      <c r="E27" s="39"/>
      <c r="F27" s="39"/>
    </row>
    <row r="28" spans="2:6" ht="15.75" customHeight="1" x14ac:dyDescent="0.2">
      <c r="B28" s="41"/>
      <c r="C28" s="43"/>
      <c r="D28" s="42"/>
      <c r="E28" s="43"/>
      <c r="F28" s="43"/>
    </row>
    <row r="29" spans="2:6" ht="15.75" customHeight="1" x14ac:dyDescent="0.2">
      <c r="B29" s="44"/>
      <c r="C29" s="39"/>
      <c r="D29" s="45"/>
      <c r="E29" s="39"/>
      <c r="F29" s="39"/>
    </row>
    <row r="30" spans="2:6" ht="15.75" customHeight="1" x14ac:dyDescent="0.2">
      <c r="B30" s="41"/>
      <c r="C30" s="43"/>
      <c r="D30" s="42"/>
      <c r="E30" s="43"/>
      <c r="F30" s="43"/>
    </row>
    <row r="31" spans="2:6" ht="15.75" customHeight="1" x14ac:dyDescent="0.2">
      <c r="B31" s="44"/>
      <c r="C31" s="39"/>
      <c r="D31" s="45"/>
      <c r="E31" s="39"/>
      <c r="F31" s="39"/>
    </row>
    <row r="32" spans="2:6" ht="15.75" customHeight="1" x14ac:dyDescent="0.2">
      <c r="B32" s="41"/>
      <c r="C32" s="43"/>
      <c r="D32" s="42"/>
      <c r="E32" s="43"/>
      <c r="F32" s="43"/>
    </row>
    <row r="33" spans="2:6" ht="15.75" customHeight="1" x14ac:dyDescent="0.2">
      <c r="B33" s="44"/>
      <c r="C33" s="39"/>
      <c r="D33" s="45"/>
      <c r="E33" s="39"/>
      <c r="F33" s="39"/>
    </row>
    <row r="34" spans="2:6" ht="15.75" customHeight="1" x14ac:dyDescent="0.2">
      <c r="B34" s="41"/>
      <c r="C34" s="43"/>
      <c r="D34" s="42"/>
      <c r="E34" s="43"/>
      <c r="F34" s="43"/>
    </row>
    <row r="35" spans="2:6" ht="15.75" customHeight="1" x14ac:dyDescent="0.2">
      <c r="B35" s="44"/>
      <c r="C35" s="39"/>
      <c r="D35" s="45"/>
      <c r="E35" s="39"/>
      <c r="F35" s="39"/>
    </row>
    <row r="36" spans="2:6" ht="15.75" customHeight="1" x14ac:dyDescent="0.2">
      <c r="B36" s="41"/>
      <c r="C36" s="43"/>
      <c r="D36" s="42"/>
      <c r="E36" s="43"/>
      <c r="F36" s="43"/>
    </row>
    <row r="37" spans="2:6" ht="15.75" customHeight="1" x14ac:dyDescent="0.2">
      <c r="B37" s="44"/>
      <c r="C37" s="39"/>
      <c r="D37" s="45"/>
      <c r="E37" s="39"/>
      <c r="F37" s="39"/>
    </row>
    <row r="38" spans="2:6" ht="15.75" customHeight="1" x14ac:dyDescent="0.2">
      <c r="B38" s="41"/>
      <c r="C38" s="43"/>
      <c r="D38" s="42"/>
      <c r="E38" s="43"/>
      <c r="F38" s="43"/>
    </row>
    <row r="39" spans="2:6" ht="15.75" customHeight="1" x14ac:dyDescent="0.2">
      <c r="B39" s="44"/>
      <c r="C39" s="39"/>
      <c r="D39" s="45"/>
      <c r="E39" s="39"/>
      <c r="F39" s="39"/>
    </row>
    <row r="40" spans="2:6" ht="15.75" customHeight="1" x14ac:dyDescent="0.2">
      <c r="B40" s="41"/>
      <c r="C40" s="43"/>
      <c r="D40" s="42"/>
      <c r="E40" s="43"/>
      <c r="F40" s="43"/>
    </row>
    <row r="41" spans="2:6" ht="15.75" customHeight="1" x14ac:dyDescent="0.2">
      <c r="B41" s="44"/>
      <c r="C41" s="39"/>
      <c r="D41" s="45"/>
      <c r="E41" s="39"/>
      <c r="F41" s="39"/>
    </row>
    <row r="42" spans="2:6" ht="15.75" customHeight="1" x14ac:dyDescent="0.2">
      <c r="B42" s="41"/>
      <c r="C42" s="43"/>
      <c r="D42" s="42"/>
      <c r="E42" s="43"/>
      <c r="F42" s="43"/>
    </row>
    <row r="43" spans="2:6" ht="15.75" customHeight="1" x14ac:dyDescent="0.2">
      <c r="B43" s="44"/>
      <c r="C43" s="39"/>
      <c r="D43" s="45"/>
      <c r="E43" s="39"/>
      <c r="F43" s="39"/>
    </row>
    <row r="44" spans="2:6" ht="15.75" customHeight="1" x14ac:dyDescent="0.2">
      <c r="B44" s="41"/>
      <c r="C44" s="43"/>
      <c r="D44" s="42"/>
      <c r="E44" s="43"/>
      <c r="F44" s="43"/>
    </row>
    <row r="45" spans="2:6" ht="15.75" customHeight="1" x14ac:dyDescent="0.2">
      <c r="B45" s="44"/>
      <c r="C45" s="39"/>
      <c r="D45" s="45"/>
      <c r="E45" s="39"/>
      <c r="F45" s="39"/>
    </row>
    <row r="46" spans="2:6" ht="15.75" customHeight="1" x14ac:dyDescent="0.2">
      <c r="B46" s="41"/>
      <c r="C46" s="43"/>
      <c r="D46" s="42"/>
      <c r="E46" s="43"/>
      <c r="F46" s="43"/>
    </row>
    <row r="47" spans="2:6" ht="15.75" customHeight="1" x14ac:dyDescent="0.2">
      <c r="B47" s="44"/>
      <c r="C47" s="39"/>
      <c r="D47" s="45"/>
      <c r="E47" s="39"/>
      <c r="F47" s="39"/>
    </row>
    <row r="48" spans="2:6" ht="15.75" customHeight="1" x14ac:dyDescent="0.2">
      <c r="B48" s="41"/>
      <c r="C48" s="43"/>
      <c r="D48" s="42"/>
      <c r="E48" s="43"/>
      <c r="F48" s="43"/>
    </row>
    <row r="49" spans="2:6" ht="15.75" customHeight="1" x14ac:dyDescent="0.2">
      <c r="B49" s="44"/>
      <c r="C49" s="39"/>
      <c r="D49" s="45"/>
      <c r="E49" s="39"/>
      <c r="F49" s="39"/>
    </row>
    <row r="50" spans="2:6" ht="15.75" customHeight="1" x14ac:dyDescent="0.2">
      <c r="B50" s="41"/>
      <c r="C50" s="43"/>
      <c r="D50" s="42"/>
      <c r="E50" s="43"/>
      <c r="F50" s="43"/>
    </row>
    <row r="51" spans="2:6" ht="15.75" customHeight="1" x14ac:dyDescent="0.2">
      <c r="B51" s="44"/>
      <c r="C51" s="39"/>
      <c r="D51" s="45"/>
      <c r="E51" s="39"/>
      <c r="F51" s="39"/>
    </row>
    <row r="52" spans="2:6" ht="15.75" customHeight="1" x14ac:dyDescent="0.2">
      <c r="B52" s="41"/>
      <c r="C52" s="43"/>
      <c r="D52" s="42"/>
      <c r="E52" s="43"/>
      <c r="F52" s="43"/>
    </row>
    <row r="53" spans="2:6" ht="15.75" customHeight="1" x14ac:dyDescent="0.2">
      <c r="B53" s="44"/>
      <c r="C53" s="39"/>
      <c r="D53" s="45"/>
      <c r="E53" s="39"/>
      <c r="F53" s="39"/>
    </row>
    <row r="54" spans="2:6" ht="15.75" customHeight="1" x14ac:dyDescent="0.2">
      <c r="B54" s="41"/>
      <c r="C54" s="43"/>
      <c r="D54" s="42"/>
      <c r="E54" s="43"/>
      <c r="F54" s="43"/>
    </row>
    <row r="55" spans="2:6" ht="15.75" customHeight="1" x14ac:dyDescent="0.2">
      <c r="B55" s="44"/>
      <c r="C55" s="39"/>
      <c r="D55" s="45"/>
      <c r="E55" s="39"/>
      <c r="F55" s="39"/>
    </row>
    <row r="56" spans="2:6" ht="15.75" customHeight="1" x14ac:dyDescent="0.2">
      <c r="B56" s="41"/>
      <c r="C56" s="43"/>
      <c r="D56" s="42"/>
      <c r="E56" s="43"/>
      <c r="F56" s="43"/>
    </row>
    <row r="57" spans="2:6" ht="15.75" customHeight="1" x14ac:dyDescent="0.2">
      <c r="B57" s="44"/>
      <c r="C57" s="39"/>
      <c r="D57" s="45"/>
      <c r="E57" s="39"/>
      <c r="F57" s="39"/>
    </row>
    <row r="58" spans="2:6" ht="15.75" customHeight="1" x14ac:dyDescent="0.2">
      <c r="B58" s="41"/>
      <c r="C58" s="43"/>
      <c r="D58" s="42"/>
      <c r="E58" s="43"/>
      <c r="F58" s="43"/>
    </row>
    <row r="59" spans="2:6" ht="15.75" customHeight="1" x14ac:dyDescent="0.2">
      <c r="B59" s="44"/>
      <c r="C59" s="39"/>
      <c r="D59" s="45"/>
      <c r="E59" s="39"/>
      <c r="F59" s="39"/>
    </row>
    <row r="60" spans="2:6" ht="15.75" customHeight="1" x14ac:dyDescent="0.2">
      <c r="B60" s="41"/>
      <c r="C60" s="43"/>
      <c r="D60" s="42"/>
      <c r="E60" s="43"/>
      <c r="F60" s="43"/>
    </row>
    <row r="61" spans="2:6" ht="15.75" customHeight="1" x14ac:dyDescent="0.2">
      <c r="B61" s="44"/>
      <c r="C61" s="39"/>
      <c r="D61" s="45"/>
      <c r="E61" s="39"/>
      <c r="F61" s="39"/>
    </row>
    <row r="62" spans="2:6" ht="15.75" customHeight="1" x14ac:dyDescent="0.2">
      <c r="B62" s="41"/>
      <c r="C62" s="43"/>
      <c r="D62" s="42"/>
      <c r="E62" s="43"/>
      <c r="F62" s="43"/>
    </row>
    <row r="63" spans="2:6" ht="15.75" customHeight="1" x14ac:dyDescent="0.2">
      <c r="B63" s="44"/>
      <c r="C63" s="39"/>
      <c r="D63" s="45"/>
      <c r="E63" s="39"/>
      <c r="F63" s="39"/>
    </row>
    <row r="64" spans="2:6" ht="15.75" customHeight="1" x14ac:dyDescent="0.2">
      <c r="B64" s="41"/>
      <c r="C64" s="43"/>
      <c r="D64" s="42"/>
      <c r="E64" s="43"/>
      <c r="F64" s="43"/>
    </row>
    <row r="65" spans="2:6" ht="15.75" customHeight="1" x14ac:dyDescent="0.2">
      <c r="B65" s="44"/>
      <c r="C65" s="39"/>
      <c r="D65" s="45"/>
      <c r="E65" s="39"/>
      <c r="F65" s="39"/>
    </row>
    <row r="66" spans="2:6" ht="15.75" customHeight="1" x14ac:dyDescent="0.2">
      <c r="B66" s="41"/>
      <c r="C66" s="43"/>
      <c r="D66" s="42"/>
      <c r="E66" s="43"/>
      <c r="F66" s="43"/>
    </row>
    <row r="67" spans="2:6" ht="15.75" customHeight="1" x14ac:dyDescent="0.2">
      <c r="B67" s="44"/>
      <c r="C67" s="39"/>
      <c r="D67" s="45"/>
      <c r="E67" s="39"/>
      <c r="F67" s="39"/>
    </row>
    <row r="68" spans="2:6" ht="15.75" customHeight="1" x14ac:dyDescent="0.2">
      <c r="B68" s="41"/>
      <c r="C68" s="43"/>
      <c r="D68" s="42"/>
      <c r="E68" s="43"/>
      <c r="F68" s="43"/>
    </row>
    <row r="69" spans="2:6" ht="15.75" customHeight="1" x14ac:dyDescent="0.2">
      <c r="B69" s="44"/>
      <c r="C69" s="39"/>
      <c r="D69" s="45"/>
      <c r="E69" s="39"/>
      <c r="F69" s="39"/>
    </row>
    <row r="70" spans="2:6" ht="15.75" customHeight="1" x14ac:dyDescent="0.2">
      <c r="B70" s="41"/>
      <c r="C70" s="43"/>
      <c r="D70" s="42"/>
      <c r="E70" s="43"/>
      <c r="F70" s="43"/>
    </row>
    <row r="71" spans="2:6" ht="15.75" customHeight="1" x14ac:dyDescent="0.2">
      <c r="B71" s="44"/>
      <c r="C71" s="39"/>
      <c r="D71" s="45"/>
      <c r="E71" s="39"/>
      <c r="F71" s="39"/>
    </row>
    <row r="72" spans="2:6" ht="15.75" customHeight="1" x14ac:dyDescent="0.2">
      <c r="B72" s="41"/>
      <c r="C72" s="43"/>
      <c r="D72" s="42"/>
      <c r="E72" s="43"/>
      <c r="F72" s="43"/>
    </row>
    <row r="73" spans="2:6" ht="15.75" customHeight="1" x14ac:dyDescent="0.2">
      <c r="B73" s="44"/>
      <c r="C73" s="39"/>
      <c r="D73" s="45"/>
      <c r="E73" s="39"/>
      <c r="F73" s="39"/>
    </row>
    <row r="74" spans="2:6" ht="15.75" customHeight="1" x14ac:dyDescent="0.2">
      <c r="B74" s="41"/>
      <c r="C74" s="43"/>
      <c r="D74" s="42"/>
      <c r="E74" s="43"/>
      <c r="F74" s="43"/>
    </row>
    <row r="75" spans="2:6" ht="15.75" customHeight="1" x14ac:dyDescent="0.2">
      <c r="B75" s="44"/>
      <c r="C75" s="39"/>
      <c r="D75" s="45"/>
      <c r="E75" s="39"/>
      <c r="F75" s="39"/>
    </row>
    <row r="76" spans="2:6" ht="15.75" customHeight="1" x14ac:dyDescent="0.2">
      <c r="B76" s="41"/>
      <c r="C76" s="43"/>
      <c r="D76" s="42"/>
      <c r="E76" s="43"/>
      <c r="F76" s="43"/>
    </row>
    <row r="77" spans="2:6" ht="15.75" customHeight="1" x14ac:dyDescent="0.2">
      <c r="B77" s="44"/>
      <c r="C77" s="39"/>
      <c r="D77" s="45"/>
      <c r="E77" s="39"/>
      <c r="F77" s="39"/>
    </row>
    <row r="78" spans="2:6" ht="15.75" customHeight="1" x14ac:dyDescent="0.2">
      <c r="B78" s="41"/>
      <c r="C78" s="43"/>
      <c r="D78" s="42"/>
      <c r="E78" s="43"/>
      <c r="F78" s="43"/>
    </row>
    <row r="79" spans="2:6" ht="15.75" customHeight="1" x14ac:dyDescent="0.2">
      <c r="B79" s="44"/>
      <c r="C79" s="39"/>
      <c r="D79" s="45"/>
      <c r="E79" s="39"/>
      <c r="F79" s="39"/>
    </row>
    <row r="80" spans="2:6" ht="15.75" customHeight="1" x14ac:dyDescent="0.2">
      <c r="B80" s="41"/>
      <c r="C80" s="43"/>
      <c r="D80" s="42"/>
      <c r="E80" s="43"/>
      <c r="F80" s="43"/>
    </row>
    <row r="81" spans="2:6" ht="15.75" customHeight="1" x14ac:dyDescent="0.2">
      <c r="B81" s="44"/>
      <c r="C81" s="39"/>
      <c r="D81" s="45"/>
      <c r="E81" s="39"/>
      <c r="F81" s="39"/>
    </row>
    <row r="82" spans="2:6" ht="15.75" customHeight="1" x14ac:dyDescent="0.2">
      <c r="B82" s="41"/>
      <c r="C82" s="43"/>
      <c r="D82" s="42"/>
      <c r="E82" s="43"/>
      <c r="F82" s="43"/>
    </row>
    <row r="83" spans="2:6" ht="15.75" customHeight="1" x14ac:dyDescent="0.2">
      <c r="B83" s="44"/>
      <c r="C83" s="39"/>
      <c r="D83" s="45"/>
      <c r="E83" s="39"/>
      <c r="F83" s="39"/>
    </row>
    <row r="84" spans="2:6" ht="15.75" customHeight="1" x14ac:dyDescent="0.2">
      <c r="B84" s="41"/>
      <c r="C84" s="43"/>
      <c r="D84" s="42"/>
      <c r="E84" s="43"/>
      <c r="F84" s="43"/>
    </row>
    <row r="85" spans="2:6" ht="15.75" customHeight="1" x14ac:dyDescent="0.2">
      <c r="B85" s="44"/>
      <c r="C85" s="39"/>
      <c r="D85" s="45"/>
      <c r="E85" s="39"/>
      <c r="F85" s="39"/>
    </row>
    <row r="86" spans="2:6" ht="15.75" customHeight="1" x14ac:dyDescent="0.2">
      <c r="B86" s="41"/>
      <c r="C86" s="43"/>
      <c r="D86" s="42"/>
      <c r="E86" s="43"/>
      <c r="F86" s="43"/>
    </row>
    <row r="87" spans="2:6" ht="15.75" customHeight="1" x14ac:dyDescent="0.2">
      <c r="B87" s="44"/>
      <c r="C87" s="39"/>
      <c r="D87" s="45"/>
      <c r="E87" s="39"/>
      <c r="F87" s="39"/>
    </row>
    <row r="88" spans="2:6" ht="15.75" customHeight="1" x14ac:dyDescent="0.2">
      <c r="B88" s="41"/>
      <c r="C88" s="43"/>
      <c r="D88" s="42"/>
      <c r="E88" s="43"/>
      <c r="F88" s="43"/>
    </row>
    <row r="89" spans="2:6" ht="15.75" customHeight="1" x14ac:dyDescent="0.2">
      <c r="B89" s="44"/>
      <c r="C89" s="39"/>
      <c r="D89" s="45"/>
      <c r="E89" s="39"/>
      <c r="F89" s="39"/>
    </row>
    <row r="90" spans="2:6" ht="15.75" customHeight="1" x14ac:dyDescent="0.2">
      <c r="B90" s="41"/>
      <c r="C90" s="43"/>
      <c r="D90" s="42"/>
      <c r="E90" s="43"/>
      <c r="F90" s="43"/>
    </row>
    <row r="91" spans="2:6" ht="15.75" customHeight="1" x14ac:dyDescent="0.2">
      <c r="B91" s="44"/>
      <c r="C91" s="39"/>
      <c r="D91" s="45"/>
      <c r="E91" s="39"/>
      <c r="F91" s="39"/>
    </row>
    <row r="92" spans="2:6" ht="15.75" customHeight="1" x14ac:dyDescent="0.2">
      <c r="B92" s="41"/>
      <c r="C92" s="43"/>
      <c r="D92" s="42"/>
      <c r="E92" s="43"/>
      <c r="F92" s="43"/>
    </row>
    <row r="93" spans="2:6" ht="15.75" customHeight="1" x14ac:dyDescent="0.2">
      <c r="B93" s="44"/>
      <c r="C93" s="39"/>
      <c r="D93" s="45"/>
      <c r="E93" s="39"/>
      <c r="F93" s="39"/>
    </row>
    <row r="94" spans="2:6" ht="15.75" customHeight="1" x14ac:dyDescent="0.2">
      <c r="B94" s="41"/>
      <c r="C94" s="43"/>
      <c r="D94" s="42"/>
      <c r="E94" s="43"/>
      <c r="F94" s="43"/>
    </row>
    <row r="95" spans="2:6" ht="15.75" customHeight="1" x14ac:dyDescent="0.2">
      <c r="B95" s="44"/>
      <c r="C95" s="39"/>
      <c r="D95" s="45"/>
      <c r="E95" s="39"/>
      <c r="F95" s="39"/>
    </row>
    <row r="96" spans="2:6" ht="15.75" customHeight="1" x14ac:dyDescent="0.2">
      <c r="B96" s="41"/>
      <c r="C96" s="43"/>
      <c r="D96" s="42"/>
      <c r="E96" s="43"/>
      <c r="F96" s="43"/>
    </row>
    <row r="97" spans="2:6" ht="15.75" customHeight="1" x14ac:dyDescent="0.2">
      <c r="B97" s="44"/>
      <c r="C97" s="39"/>
      <c r="D97" s="45"/>
      <c r="E97" s="39"/>
      <c r="F97" s="39"/>
    </row>
    <row r="98" spans="2:6" ht="15.75" customHeight="1" x14ac:dyDescent="0.2">
      <c r="B98" s="41"/>
      <c r="C98" s="43"/>
      <c r="D98" s="42"/>
      <c r="E98" s="43"/>
      <c r="F98" s="43"/>
    </row>
    <row r="99" spans="2:6" ht="15.75" customHeight="1" x14ac:dyDescent="0.2">
      <c r="B99" s="44"/>
      <c r="C99" s="39"/>
      <c r="D99" s="45"/>
      <c r="E99" s="39"/>
      <c r="F99" s="39"/>
    </row>
    <row r="100" spans="2:6" ht="15.75" customHeight="1" x14ac:dyDescent="0.2">
      <c r="B100" s="41"/>
      <c r="C100" s="43"/>
      <c r="D100" s="42"/>
      <c r="E100" s="43"/>
      <c r="F100" s="43"/>
    </row>
    <row r="101" spans="2:6" ht="15.75" customHeight="1" x14ac:dyDescent="0.2">
      <c r="B101" s="44"/>
      <c r="C101" s="39"/>
      <c r="D101" s="45"/>
      <c r="E101" s="39"/>
      <c r="F101" s="39"/>
    </row>
    <row r="102" spans="2:6" ht="15.75" customHeight="1" x14ac:dyDescent="0.2">
      <c r="B102" s="41"/>
      <c r="C102" s="43"/>
      <c r="D102" s="42"/>
      <c r="E102" s="43"/>
      <c r="F102" s="43"/>
    </row>
    <row r="103" spans="2:6" ht="15.75" customHeight="1" x14ac:dyDescent="0.2">
      <c r="B103" s="44"/>
      <c r="C103" s="39"/>
      <c r="D103" s="45"/>
      <c r="E103" s="39"/>
      <c r="F103" s="39"/>
    </row>
    <row r="104" spans="2:6" ht="15.75" customHeight="1" x14ac:dyDescent="0.2">
      <c r="B104" s="41"/>
      <c r="C104" s="43"/>
      <c r="D104" s="42"/>
      <c r="E104" s="43"/>
      <c r="F104" s="43"/>
    </row>
    <row r="105" spans="2:6" ht="15.75" customHeight="1" x14ac:dyDescent="0.2">
      <c r="B105" s="44"/>
      <c r="C105" s="39"/>
      <c r="D105" s="45"/>
      <c r="E105" s="39"/>
      <c r="F105" s="39"/>
    </row>
    <row r="106" spans="2:6" ht="15.75" customHeight="1" x14ac:dyDescent="0.2">
      <c r="B106" s="41"/>
      <c r="C106" s="43"/>
      <c r="D106" s="42"/>
      <c r="E106" s="43"/>
      <c r="F106" s="43"/>
    </row>
    <row r="107" spans="2:6" ht="15.75" customHeight="1" x14ac:dyDescent="0.2">
      <c r="B107" s="44"/>
      <c r="C107" s="39"/>
      <c r="D107" s="45"/>
      <c r="E107" s="39"/>
      <c r="F107" s="39"/>
    </row>
    <row r="108" spans="2:6" ht="15.75" customHeight="1" x14ac:dyDescent="0.2">
      <c r="B108" s="41"/>
      <c r="C108" s="43"/>
      <c r="D108" s="42"/>
      <c r="E108" s="43"/>
      <c r="F108" s="43"/>
    </row>
    <row r="109" spans="2:6" ht="15.75" customHeight="1" x14ac:dyDescent="0.2">
      <c r="B109" s="44"/>
      <c r="C109" s="39"/>
      <c r="D109" s="45"/>
      <c r="E109" s="39"/>
      <c r="F109" s="39"/>
    </row>
    <row r="110" spans="2:6" ht="15.75" customHeight="1" x14ac:dyDescent="0.2">
      <c r="B110" s="41"/>
      <c r="C110" s="43"/>
      <c r="D110" s="42"/>
      <c r="E110" s="43"/>
      <c r="F110" s="43"/>
    </row>
    <row r="111" spans="2:6" ht="15.75" customHeight="1" x14ac:dyDescent="0.2">
      <c r="B111" s="44"/>
      <c r="C111" s="39"/>
      <c r="D111" s="45"/>
      <c r="E111" s="39"/>
      <c r="F111" s="39"/>
    </row>
    <row r="112" spans="2:6" ht="15.75" customHeight="1" x14ac:dyDescent="0.2">
      <c r="B112" s="41"/>
      <c r="C112" s="43"/>
      <c r="D112" s="42"/>
      <c r="E112" s="43"/>
      <c r="F112" s="43"/>
    </row>
    <row r="113" spans="2:6" ht="15.75" customHeight="1" x14ac:dyDescent="0.2">
      <c r="B113" s="44"/>
      <c r="C113" s="39"/>
      <c r="D113" s="45"/>
      <c r="E113" s="39"/>
      <c r="F113" s="39"/>
    </row>
    <row r="114" spans="2:6" ht="15.75" customHeight="1" x14ac:dyDescent="0.2">
      <c r="B114" s="41"/>
      <c r="C114" s="43"/>
      <c r="D114" s="42"/>
      <c r="E114" s="43"/>
      <c r="F114" s="43"/>
    </row>
    <row r="115" spans="2:6" ht="15.75" customHeight="1" x14ac:dyDescent="0.2">
      <c r="B115" s="44"/>
      <c r="C115" s="39"/>
      <c r="D115" s="45"/>
      <c r="E115" s="39"/>
      <c r="F115" s="39"/>
    </row>
    <row r="116" spans="2:6" ht="15.75" customHeight="1" x14ac:dyDescent="0.2">
      <c r="B116" s="41"/>
      <c r="C116" s="43"/>
      <c r="D116" s="42"/>
      <c r="E116" s="43"/>
      <c r="F116" s="43"/>
    </row>
    <row r="117" spans="2:6" ht="15.75" customHeight="1" x14ac:dyDescent="0.2">
      <c r="B117" s="44"/>
      <c r="C117" s="39"/>
      <c r="D117" s="45"/>
      <c r="E117" s="39"/>
      <c r="F117" s="39"/>
    </row>
    <row r="118" spans="2:6" ht="15.75" customHeight="1" x14ac:dyDescent="0.2">
      <c r="B118" s="41"/>
      <c r="C118" s="43"/>
      <c r="D118" s="42"/>
      <c r="E118" s="43"/>
      <c r="F118" s="43"/>
    </row>
    <row r="119" spans="2:6" ht="15.75" customHeight="1" x14ac:dyDescent="0.2">
      <c r="B119" s="44"/>
      <c r="C119" s="39"/>
      <c r="D119" s="45"/>
      <c r="E119" s="39"/>
      <c r="F119" s="39"/>
    </row>
    <row r="120" spans="2:6" ht="15.75" customHeight="1" x14ac:dyDescent="0.2">
      <c r="B120" s="41"/>
      <c r="C120" s="43"/>
      <c r="D120" s="42"/>
      <c r="E120" s="43"/>
      <c r="F120" s="43"/>
    </row>
    <row r="121" spans="2:6" ht="15.75" customHeight="1" x14ac:dyDescent="0.2">
      <c r="B121" s="44"/>
      <c r="C121" s="39"/>
      <c r="D121" s="45"/>
      <c r="E121" s="39"/>
      <c r="F121" s="39"/>
    </row>
    <row r="122" spans="2:6" ht="15.75" customHeight="1" x14ac:dyDescent="0.2">
      <c r="B122" s="41"/>
      <c r="C122" s="43"/>
      <c r="D122" s="42"/>
      <c r="E122" s="43"/>
      <c r="F122" s="43"/>
    </row>
    <row r="123" spans="2:6" ht="15.75" customHeight="1" x14ac:dyDescent="0.2">
      <c r="B123" s="44"/>
      <c r="C123" s="39"/>
      <c r="D123" s="45"/>
      <c r="E123" s="39"/>
      <c r="F123" s="39"/>
    </row>
    <row r="124" spans="2:6" ht="15.75" customHeight="1" x14ac:dyDescent="0.2">
      <c r="B124" s="41"/>
      <c r="C124" s="43"/>
      <c r="D124" s="42"/>
      <c r="E124" s="43"/>
      <c r="F124" s="43"/>
    </row>
    <row r="125" spans="2:6" ht="15.75" customHeight="1" x14ac:dyDescent="0.2">
      <c r="B125" s="44"/>
      <c r="C125" s="39"/>
      <c r="D125" s="45"/>
      <c r="E125" s="39"/>
      <c r="F125" s="39"/>
    </row>
    <row r="126" spans="2:6" ht="15.75" customHeight="1" x14ac:dyDescent="0.2">
      <c r="B126" s="41"/>
      <c r="C126" s="43"/>
      <c r="D126" s="42"/>
      <c r="E126" s="43"/>
      <c r="F126" s="43"/>
    </row>
    <row r="127" spans="2:6" ht="15.75" customHeight="1" x14ac:dyDescent="0.2">
      <c r="B127" s="44"/>
      <c r="C127" s="39"/>
      <c r="D127" s="45"/>
      <c r="E127" s="39"/>
      <c r="F127" s="39"/>
    </row>
    <row r="128" spans="2:6" ht="15.75" customHeight="1" x14ac:dyDescent="0.2">
      <c r="B128" s="41"/>
      <c r="C128" s="43"/>
      <c r="D128" s="42"/>
      <c r="E128" s="43"/>
      <c r="F128" s="43"/>
    </row>
    <row r="129" spans="2:6" ht="15.75" customHeight="1" x14ac:dyDescent="0.2">
      <c r="B129" s="44"/>
      <c r="C129" s="39"/>
      <c r="D129" s="45"/>
      <c r="E129" s="39"/>
      <c r="F129" s="39"/>
    </row>
    <row r="130" spans="2:6" ht="15.75" customHeight="1" x14ac:dyDescent="0.2">
      <c r="B130" s="41"/>
      <c r="C130" s="43"/>
      <c r="D130" s="42"/>
      <c r="E130" s="43"/>
      <c r="F130" s="43"/>
    </row>
    <row r="131" spans="2:6" ht="15.75" customHeight="1" x14ac:dyDescent="0.2">
      <c r="B131" s="44"/>
      <c r="C131" s="39"/>
      <c r="D131" s="45"/>
      <c r="E131" s="39"/>
      <c r="F131" s="39"/>
    </row>
    <row r="132" spans="2:6" ht="15.75" customHeight="1" x14ac:dyDescent="0.2">
      <c r="B132" s="41"/>
      <c r="C132" s="43"/>
      <c r="D132" s="42"/>
      <c r="E132" s="43"/>
      <c r="F132" s="43"/>
    </row>
    <row r="133" spans="2:6" ht="15.75" customHeight="1" x14ac:dyDescent="0.2">
      <c r="B133" s="44"/>
      <c r="C133" s="39"/>
      <c r="D133" s="45"/>
      <c r="E133" s="39"/>
      <c r="F133" s="39"/>
    </row>
    <row r="134" spans="2:6" ht="15.75" customHeight="1" x14ac:dyDescent="0.2">
      <c r="B134" s="41"/>
      <c r="C134" s="43"/>
      <c r="D134" s="42"/>
      <c r="E134" s="43"/>
      <c r="F134" s="43"/>
    </row>
    <row r="135" spans="2:6" ht="15.75" customHeight="1" x14ac:dyDescent="0.2">
      <c r="B135" s="44"/>
      <c r="C135" s="39"/>
      <c r="D135" s="45"/>
      <c r="E135" s="39"/>
      <c r="F135" s="39"/>
    </row>
    <row r="136" spans="2:6" ht="15.75" customHeight="1" x14ac:dyDescent="0.2">
      <c r="B136" s="41"/>
      <c r="C136" s="43"/>
      <c r="D136" s="42"/>
      <c r="E136" s="43"/>
      <c r="F136" s="43"/>
    </row>
    <row r="137" spans="2:6" ht="15.75" customHeight="1" x14ac:dyDescent="0.2">
      <c r="B137" s="44"/>
      <c r="C137" s="39"/>
      <c r="D137" s="45"/>
      <c r="E137" s="39"/>
      <c r="F137" s="39"/>
    </row>
    <row r="138" spans="2:6" ht="15.75" customHeight="1" x14ac:dyDescent="0.2">
      <c r="B138" s="41"/>
      <c r="C138" s="43"/>
      <c r="D138" s="42"/>
      <c r="E138" s="43"/>
      <c r="F138" s="43"/>
    </row>
    <row r="139" spans="2:6" ht="15.75" customHeight="1" x14ac:dyDescent="0.2">
      <c r="B139" s="44"/>
      <c r="C139" s="39"/>
      <c r="D139" s="45"/>
      <c r="E139" s="39"/>
      <c r="F139" s="39"/>
    </row>
    <row r="140" spans="2:6" ht="15.75" customHeight="1" x14ac:dyDescent="0.2">
      <c r="B140" s="41"/>
      <c r="C140" s="43"/>
      <c r="D140" s="42"/>
      <c r="E140" s="43"/>
      <c r="F140" s="43"/>
    </row>
    <row r="141" spans="2:6" ht="15.75" customHeight="1" x14ac:dyDescent="0.2">
      <c r="B141" s="44"/>
      <c r="C141" s="39"/>
      <c r="D141" s="45"/>
      <c r="E141" s="39"/>
      <c r="F141" s="39"/>
    </row>
    <row r="142" spans="2:6" ht="15.75" customHeight="1" x14ac:dyDescent="0.2">
      <c r="B142" s="41"/>
      <c r="C142" s="43"/>
      <c r="D142" s="42"/>
      <c r="E142" s="43"/>
      <c r="F142" s="43"/>
    </row>
    <row r="143" spans="2:6" ht="15.75" customHeight="1" x14ac:dyDescent="0.2">
      <c r="B143" s="44"/>
      <c r="C143" s="39"/>
      <c r="D143" s="45"/>
      <c r="E143" s="39"/>
      <c r="F143" s="39"/>
    </row>
    <row r="144" spans="2:6" ht="15.75" customHeight="1" x14ac:dyDescent="0.2">
      <c r="B144" s="41"/>
      <c r="C144" s="43"/>
      <c r="D144" s="42"/>
      <c r="E144" s="43"/>
      <c r="F144" s="43"/>
    </row>
    <row r="145" spans="2:6" ht="15.75" customHeight="1" x14ac:dyDescent="0.2">
      <c r="B145" s="44"/>
      <c r="C145" s="39"/>
      <c r="D145" s="45"/>
      <c r="E145" s="39"/>
      <c r="F145" s="39"/>
    </row>
    <row r="146" spans="2:6" ht="15.75" customHeight="1" x14ac:dyDescent="0.2">
      <c r="B146" s="41"/>
      <c r="C146" s="43"/>
      <c r="D146" s="42"/>
      <c r="E146" s="43"/>
      <c r="F146" s="43"/>
    </row>
    <row r="147" spans="2:6" ht="15.75" customHeight="1" x14ac:dyDescent="0.2">
      <c r="B147" s="44"/>
      <c r="C147" s="39"/>
      <c r="D147" s="45"/>
      <c r="E147" s="39"/>
      <c r="F147" s="39"/>
    </row>
    <row r="148" spans="2:6" ht="15.75" customHeight="1" x14ac:dyDescent="0.2">
      <c r="B148" s="41"/>
      <c r="C148" s="43"/>
      <c r="D148" s="42"/>
      <c r="E148" s="43"/>
      <c r="F148" s="43"/>
    </row>
    <row r="149" spans="2:6" ht="15.75" customHeight="1" x14ac:dyDescent="0.2">
      <c r="B149" s="44"/>
      <c r="C149" s="39"/>
      <c r="D149" s="45"/>
      <c r="E149" s="39"/>
      <c r="F149" s="39"/>
    </row>
    <row r="150" spans="2:6" ht="15.75" customHeight="1" x14ac:dyDescent="0.2">
      <c r="B150" s="41"/>
      <c r="C150" s="43"/>
      <c r="D150" s="42"/>
      <c r="E150" s="43"/>
      <c r="F150" s="43"/>
    </row>
    <row r="151" spans="2:6" ht="15.75" customHeight="1" x14ac:dyDescent="0.2">
      <c r="B151" s="44"/>
      <c r="C151" s="39"/>
      <c r="D151" s="45"/>
      <c r="E151" s="39"/>
      <c r="F151" s="39"/>
    </row>
    <row r="152" spans="2:6" ht="15.75" customHeight="1" x14ac:dyDescent="0.2">
      <c r="B152" s="41"/>
      <c r="C152" s="43"/>
      <c r="D152" s="42"/>
      <c r="E152" s="43"/>
      <c r="F152" s="43"/>
    </row>
    <row r="153" spans="2:6" ht="15.75" customHeight="1" x14ac:dyDescent="0.2">
      <c r="B153" s="44"/>
      <c r="C153" s="39"/>
      <c r="D153" s="45"/>
      <c r="E153" s="39"/>
      <c r="F153" s="39"/>
    </row>
    <row r="154" spans="2:6" ht="15.75" customHeight="1" x14ac:dyDescent="0.2">
      <c r="B154" s="41"/>
      <c r="C154" s="43"/>
      <c r="D154" s="42"/>
      <c r="E154" s="43"/>
      <c r="F154" s="43"/>
    </row>
    <row r="155" spans="2:6" ht="15.75" customHeight="1" x14ac:dyDescent="0.2">
      <c r="B155" s="44"/>
      <c r="C155" s="39"/>
      <c r="D155" s="45"/>
      <c r="E155" s="39"/>
      <c r="F155" s="39"/>
    </row>
    <row r="156" spans="2:6" ht="15.75" customHeight="1" x14ac:dyDescent="0.2">
      <c r="B156" s="41"/>
      <c r="C156" s="43"/>
      <c r="D156" s="42"/>
      <c r="E156" s="43"/>
      <c r="F156" s="43"/>
    </row>
    <row r="157" spans="2:6" ht="15.75" customHeight="1" x14ac:dyDescent="0.2">
      <c r="B157" s="44"/>
      <c r="C157" s="39"/>
      <c r="D157" s="45"/>
      <c r="E157" s="39"/>
      <c r="F157" s="39"/>
    </row>
    <row r="158" spans="2:6" ht="15.75" customHeight="1" x14ac:dyDescent="0.2">
      <c r="B158" s="41"/>
      <c r="C158" s="43"/>
      <c r="D158" s="42"/>
      <c r="E158" s="43"/>
      <c r="F158" s="43"/>
    </row>
    <row r="159" spans="2:6" ht="15.75" customHeight="1" x14ac:dyDescent="0.2">
      <c r="B159" s="44"/>
      <c r="C159" s="39"/>
      <c r="D159" s="45"/>
      <c r="E159" s="39"/>
      <c r="F159" s="39"/>
    </row>
    <row r="160" spans="2:6" ht="15.75" customHeight="1" x14ac:dyDescent="0.2">
      <c r="B160" s="41"/>
      <c r="C160" s="43"/>
      <c r="D160" s="42"/>
      <c r="E160" s="43"/>
      <c r="F160" s="43"/>
    </row>
    <row r="161" spans="2:6" ht="15.75" customHeight="1" x14ac:dyDescent="0.2">
      <c r="B161" s="44"/>
      <c r="C161" s="39"/>
      <c r="D161" s="45"/>
      <c r="E161" s="39"/>
      <c r="F161" s="39"/>
    </row>
    <row r="162" spans="2:6" ht="15.75" customHeight="1" x14ac:dyDescent="0.2">
      <c r="B162" s="41"/>
      <c r="C162" s="43"/>
      <c r="D162" s="42"/>
      <c r="E162" s="43"/>
      <c r="F162" s="43"/>
    </row>
    <row r="163" spans="2:6" ht="15.75" customHeight="1" x14ac:dyDescent="0.2">
      <c r="B163" s="44"/>
      <c r="C163" s="39"/>
      <c r="D163" s="45"/>
      <c r="E163" s="39"/>
      <c r="F163" s="39"/>
    </row>
    <row r="164" spans="2:6" ht="15.75" customHeight="1" x14ac:dyDescent="0.2">
      <c r="B164" s="41"/>
      <c r="C164" s="43"/>
      <c r="D164" s="42"/>
      <c r="E164" s="43"/>
      <c r="F164" s="43"/>
    </row>
    <row r="165" spans="2:6" ht="15.75" customHeight="1" x14ac:dyDescent="0.2">
      <c r="B165" s="44"/>
      <c r="C165" s="39"/>
      <c r="D165" s="45"/>
      <c r="E165" s="39"/>
      <c r="F165" s="39"/>
    </row>
    <row r="166" spans="2:6" ht="15.75" customHeight="1" x14ac:dyDescent="0.2">
      <c r="B166" s="41"/>
      <c r="C166" s="43"/>
      <c r="D166" s="42"/>
      <c r="E166" s="43"/>
      <c r="F166" s="43"/>
    </row>
    <row r="167" spans="2:6" ht="15.75" customHeight="1" x14ac:dyDescent="0.2">
      <c r="B167" s="44"/>
      <c r="C167" s="39"/>
      <c r="D167" s="45"/>
      <c r="E167" s="39"/>
      <c r="F167" s="39"/>
    </row>
    <row r="168" spans="2:6" ht="15.75" customHeight="1" x14ac:dyDescent="0.2">
      <c r="B168" s="41"/>
      <c r="C168" s="43"/>
      <c r="D168" s="42"/>
      <c r="E168" s="43"/>
      <c r="F168" s="43"/>
    </row>
    <row r="169" spans="2:6" ht="15.75" customHeight="1" x14ac:dyDescent="0.2">
      <c r="B169" s="44"/>
      <c r="C169" s="39"/>
      <c r="D169" s="45"/>
      <c r="E169" s="39"/>
      <c r="F169" s="39"/>
    </row>
    <row r="170" spans="2:6" ht="15.75" customHeight="1" x14ac:dyDescent="0.2">
      <c r="B170" s="41"/>
      <c r="C170" s="43"/>
      <c r="D170" s="42"/>
      <c r="E170" s="43"/>
      <c r="F170" s="43"/>
    </row>
    <row r="171" spans="2:6" ht="15.75" customHeight="1" x14ac:dyDescent="0.2">
      <c r="B171" s="44"/>
      <c r="C171" s="39"/>
      <c r="D171" s="45"/>
      <c r="E171" s="39"/>
      <c r="F171" s="39"/>
    </row>
    <row r="172" spans="2:6" ht="15.75" customHeight="1" x14ac:dyDescent="0.2">
      <c r="B172" s="41"/>
      <c r="C172" s="43"/>
      <c r="D172" s="42"/>
      <c r="E172" s="43"/>
      <c r="F172" s="43"/>
    </row>
    <row r="173" spans="2:6" ht="15.75" customHeight="1" x14ac:dyDescent="0.2">
      <c r="B173" s="44"/>
      <c r="C173" s="39"/>
      <c r="D173" s="45"/>
      <c r="E173" s="39"/>
      <c r="F173" s="39"/>
    </row>
    <row r="174" spans="2:6" ht="15.75" customHeight="1" x14ac:dyDescent="0.2">
      <c r="B174" s="41"/>
      <c r="C174" s="43"/>
      <c r="D174" s="42"/>
      <c r="E174" s="43"/>
      <c r="F174" s="43"/>
    </row>
    <row r="175" spans="2:6" ht="15.75" customHeight="1" x14ac:dyDescent="0.2">
      <c r="B175" s="44"/>
      <c r="C175" s="39"/>
      <c r="D175" s="45"/>
      <c r="E175" s="39"/>
      <c r="F175" s="39"/>
    </row>
    <row r="176" spans="2:6" ht="15.75" customHeight="1" x14ac:dyDescent="0.2">
      <c r="B176" s="41"/>
      <c r="C176" s="43"/>
      <c r="D176" s="42"/>
      <c r="E176" s="43"/>
      <c r="F176" s="43"/>
    </row>
    <row r="177" spans="2:6" ht="15.75" customHeight="1" x14ac:dyDescent="0.2">
      <c r="B177" s="44"/>
      <c r="C177" s="39"/>
      <c r="D177" s="45"/>
      <c r="E177" s="39"/>
      <c r="F177" s="39"/>
    </row>
    <row r="178" spans="2:6" ht="15.75" customHeight="1" x14ac:dyDescent="0.2">
      <c r="B178" s="41"/>
      <c r="C178" s="43"/>
      <c r="D178" s="42"/>
      <c r="E178" s="43"/>
      <c r="F178" s="43"/>
    </row>
    <row r="179" spans="2:6" ht="15.75" customHeight="1" x14ac:dyDescent="0.2">
      <c r="B179" s="44"/>
      <c r="C179" s="39"/>
      <c r="D179" s="45"/>
      <c r="E179" s="39"/>
      <c r="F179" s="39"/>
    </row>
    <row r="180" spans="2:6" ht="15.75" customHeight="1" x14ac:dyDescent="0.2">
      <c r="B180" s="41"/>
      <c r="C180" s="43"/>
      <c r="D180" s="42"/>
      <c r="E180" s="43"/>
      <c r="F180" s="43"/>
    </row>
    <row r="181" spans="2:6" ht="15.75" customHeight="1" x14ac:dyDescent="0.2">
      <c r="B181" s="44"/>
      <c r="C181" s="39"/>
      <c r="D181" s="45"/>
      <c r="E181" s="39"/>
      <c r="F181" s="39"/>
    </row>
    <row r="182" spans="2:6" ht="15.75" customHeight="1" x14ac:dyDescent="0.2">
      <c r="B182" s="41"/>
      <c r="C182" s="43"/>
      <c r="D182" s="42"/>
      <c r="E182" s="43"/>
      <c r="F182" s="43"/>
    </row>
    <row r="183" spans="2:6" ht="15.75" customHeight="1" x14ac:dyDescent="0.2">
      <c r="B183" s="44"/>
      <c r="C183" s="39"/>
      <c r="D183" s="45"/>
      <c r="E183" s="39"/>
      <c r="F183" s="39"/>
    </row>
    <row r="184" spans="2:6" ht="15.75" customHeight="1" x14ac:dyDescent="0.2">
      <c r="B184" s="41"/>
      <c r="C184" s="43"/>
      <c r="D184" s="42"/>
      <c r="E184" s="43"/>
      <c r="F184" s="43"/>
    </row>
    <row r="185" spans="2:6" ht="15.75" customHeight="1" x14ac:dyDescent="0.2">
      <c r="B185" s="44"/>
      <c r="C185" s="39"/>
      <c r="D185" s="45"/>
      <c r="E185" s="39"/>
      <c r="F185" s="39"/>
    </row>
    <row r="186" spans="2:6" ht="15.75" customHeight="1" x14ac:dyDescent="0.2">
      <c r="B186" s="41"/>
      <c r="C186" s="43"/>
      <c r="D186" s="42"/>
      <c r="E186" s="43"/>
      <c r="F186" s="43"/>
    </row>
    <row r="187" spans="2:6" ht="15.75" customHeight="1" x14ac:dyDescent="0.2">
      <c r="B187" s="44"/>
      <c r="C187" s="39"/>
      <c r="D187" s="45"/>
      <c r="E187" s="39"/>
      <c r="F187" s="39"/>
    </row>
    <row r="188" spans="2:6" ht="15.75" customHeight="1" x14ac:dyDescent="0.2">
      <c r="B188" s="41"/>
      <c r="C188" s="43"/>
      <c r="D188" s="42"/>
      <c r="E188" s="43"/>
      <c r="F188" s="43"/>
    </row>
    <row r="189" spans="2:6" ht="15.75" customHeight="1" x14ac:dyDescent="0.2">
      <c r="B189" s="44"/>
      <c r="C189" s="39"/>
      <c r="D189" s="45"/>
      <c r="E189" s="39"/>
      <c r="F189" s="39"/>
    </row>
    <row r="190" spans="2:6" ht="15.75" customHeight="1" x14ac:dyDescent="0.2">
      <c r="B190" s="41"/>
      <c r="C190" s="43"/>
      <c r="D190" s="42"/>
      <c r="E190" s="43"/>
      <c r="F190" s="43"/>
    </row>
    <row r="191" spans="2:6" ht="15.75" customHeight="1" x14ac:dyDescent="0.2">
      <c r="B191" s="44"/>
      <c r="C191" s="39"/>
      <c r="D191" s="45"/>
      <c r="E191" s="39"/>
      <c r="F191" s="39"/>
    </row>
    <row r="192" spans="2:6" ht="15.75" customHeight="1" x14ac:dyDescent="0.2">
      <c r="B192" s="41"/>
      <c r="C192" s="43"/>
      <c r="D192" s="42"/>
      <c r="E192" s="43"/>
      <c r="F192" s="43"/>
    </row>
    <row r="193" spans="2:6" ht="15.75" customHeight="1" x14ac:dyDescent="0.2">
      <c r="B193" s="44"/>
      <c r="C193" s="39"/>
      <c r="D193" s="45"/>
      <c r="E193" s="39"/>
      <c r="F193" s="39"/>
    </row>
    <row r="194" spans="2:6" ht="15.75" customHeight="1" x14ac:dyDescent="0.2">
      <c r="B194" s="41"/>
      <c r="C194" s="43"/>
      <c r="D194" s="42"/>
      <c r="E194" s="43"/>
      <c r="F194" s="43"/>
    </row>
    <row r="195" spans="2:6" ht="15.75" customHeight="1" x14ac:dyDescent="0.2">
      <c r="B195" s="44"/>
      <c r="C195" s="39"/>
      <c r="D195" s="45"/>
      <c r="E195" s="39"/>
      <c r="F195" s="39"/>
    </row>
    <row r="196" spans="2:6" ht="15.75" customHeight="1" x14ac:dyDescent="0.2">
      <c r="B196" s="41"/>
      <c r="C196" s="43"/>
      <c r="D196" s="42"/>
      <c r="E196" s="43"/>
      <c r="F196" s="43"/>
    </row>
    <row r="197" spans="2:6" ht="15.75" customHeight="1" x14ac:dyDescent="0.2">
      <c r="B197" s="44"/>
      <c r="C197" s="39"/>
      <c r="D197" s="45"/>
      <c r="E197" s="39"/>
      <c r="F197" s="39"/>
    </row>
    <row r="198" spans="2:6" ht="15.75" customHeight="1" x14ac:dyDescent="0.2">
      <c r="B198" s="41"/>
      <c r="C198" s="43"/>
      <c r="D198" s="42"/>
      <c r="E198" s="43"/>
      <c r="F198" s="43"/>
    </row>
    <row r="199" spans="2:6" ht="15.75" customHeight="1" x14ac:dyDescent="0.2">
      <c r="B199" s="44"/>
      <c r="C199" s="39"/>
      <c r="D199" s="45"/>
      <c r="E199" s="39"/>
      <c r="F199" s="39"/>
    </row>
    <row r="200" spans="2:6" ht="15.75" customHeight="1" x14ac:dyDescent="0.2">
      <c r="B200" s="41"/>
      <c r="C200" s="43"/>
      <c r="D200" s="42"/>
      <c r="E200" s="43"/>
      <c r="F200" s="43"/>
    </row>
    <row r="201" spans="2:6" ht="15.75" customHeight="1" x14ac:dyDescent="0.2">
      <c r="B201" s="44"/>
      <c r="C201" s="39"/>
      <c r="D201" s="45"/>
      <c r="E201" s="39"/>
      <c r="F201" s="39"/>
    </row>
    <row r="202" spans="2:6" ht="15.75" customHeight="1" x14ac:dyDescent="0.2">
      <c r="B202" s="41"/>
      <c r="C202" s="43"/>
      <c r="D202" s="42"/>
      <c r="E202" s="43"/>
      <c r="F202" s="43"/>
    </row>
    <row r="203" spans="2:6" ht="15.75" customHeight="1" x14ac:dyDescent="0.2">
      <c r="B203" s="44"/>
      <c r="C203" s="39"/>
      <c r="D203" s="45"/>
      <c r="E203" s="39"/>
      <c r="F203" s="39"/>
    </row>
    <row r="204" spans="2:6" ht="15.75" customHeight="1" x14ac:dyDescent="0.2">
      <c r="B204" s="41"/>
      <c r="C204" s="43"/>
      <c r="D204" s="42"/>
      <c r="E204" s="43"/>
      <c r="F204" s="43"/>
    </row>
    <row r="205" spans="2:6" ht="15.75" customHeight="1" x14ac:dyDescent="0.2">
      <c r="B205" s="44"/>
      <c r="C205" s="39"/>
      <c r="D205" s="45"/>
      <c r="E205" s="39"/>
      <c r="F205" s="39"/>
    </row>
    <row r="206" spans="2:6" ht="15.75" customHeight="1" x14ac:dyDescent="0.2">
      <c r="B206" s="41"/>
      <c r="C206" s="43"/>
      <c r="D206" s="42"/>
      <c r="E206" s="43"/>
      <c r="F206" s="43"/>
    </row>
    <row r="207" spans="2:6" ht="15.75" customHeight="1" x14ac:dyDescent="0.2">
      <c r="B207" s="63"/>
      <c r="D207" s="14"/>
      <c r="E207" s="63"/>
    </row>
    <row r="208" spans="2:6" ht="15.75" customHeight="1" x14ac:dyDescent="0.2">
      <c r="B208" s="63"/>
      <c r="D208" s="14"/>
      <c r="E208" s="63"/>
    </row>
    <row r="209" spans="2:5" ht="15.75" customHeight="1" x14ac:dyDescent="0.2">
      <c r="B209" s="63"/>
      <c r="D209" s="14"/>
      <c r="E209" s="63"/>
    </row>
    <row r="210" spans="2:5" ht="15.75" customHeight="1" x14ac:dyDescent="0.2">
      <c r="B210" s="63"/>
      <c r="D210" s="14"/>
      <c r="E210" s="63"/>
    </row>
    <row r="211" spans="2:5" ht="15.75" customHeight="1" x14ac:dyDescent="0.2">
      <c r="B211" s="63"/>
      <c r="D211" s="14"/>
      <c r="E211" s="63"/>
    </row>
    <row r="212" spans="2:5" ht="15.75" customHeight="1" x14ac:dyDescent="0.2">
      <c r="B212" s="63"/>
      <c r="D212" s="14"/>
      <c r="E212" s="63"/>
    </row>
    <row r="213" spans="2:5" ht="15.75" customHeight="1" x14ac:dyDescent="0.2">
      <c r="B213" s="63"/>
      <c r="D213" s="14"/>
      <c r="E213" s="63"/>
    </row>
    <row r="214" spans="2:5" ht="15.75" customHeight="1" x14ac:dyDescent="0.2">
      <c r="B214" s="63"/>
      <c r="D214" s="14"/>
      <c r="E214" s="63"/>
    </row>
    <row r="215" spans="2:5" ht="15.75" customHeight="1" x14ac:dyDescent="0.2">
      <c r="B215" s="63"/>
      <c r="D215" s="14"/>
      <c r="E215" s="63"/>
    </row>
    <row r="216" spans="2:5" ht="15.75" customHeight="1" x14ac:dyDescent="0.2">
      <c r="B216" s="63"/>
      <c r="D216" s="14"/>
      <c r="E216" s="63"/>
    </row>
    <row r="217" spans="2:5" ht="15.75" customHeight="1" x14ac:dyDescent="0.2">
      <c r="B217" s="63"/>
      <c r="D217" s="14"/>
      <c r="E217" s="63"/>
    </row>
    <row r="218" spans="2:5" ht="15.75" customHeight="1" x14ac:dyDescent="0.2">
      <c r="B218" s="63"/>
      <c r="D218" s="14"/>
      <c r="E218" s="63"/>
    </row>
    <row r="219" spans="2:5" ht="15.75" customHeight="1" x14ac:dyDescent="0.2">
      <c r="B219" s="63"/>
      <c r="D219" s="14"/>
      <c r="E219" s="63"/>
    </row>
    <row r="220" spans="2:5" ht="15.75" customHeight="1" x14ac:dyDescent="0.2">
      <c r="B220" s="63"/>
      <c r="D220" s="14"/>
      <c r="E220" s="63"/>
    </row>
    <row r="221" spans="2:5" ht="15.75" customHeight="1" x14ac:dyDescent="0.2">
      <c r="B221" s="63"/>
      <c r="D221" s="14"/>
      <c r="E221" s="63"/>
    </row>
    <row r="222" spans="2:5" ht="15.75" customHeight="1" x14ac:dyDescent="0.2">
      <c r="B222" s="63"/>
      <c r="D222" s="14"/>
      <c r="E222" s="63"/>
    </row>
    <row r="223" spans="2:5" ht="15.75" customHeight="1" x14ac:dyDescent="0.2">
      <c r="B223" s="63"/>
      <c r="D223" s="14"/>
      <c r="E223" s="63"/>
    </row>
    <row r="224" spans="2:5" ht="15.75" customHeight="1" x14ac:dyDescent="0.2">
      <c r="B224" s="63"/>
      <c r="D224" s="14"/>
      <c r="E224" s="63"/>
    </row>
    <row r="225" spans="2:5" ht="15.75" customHeight="1" x14ac:dyDescent="0.2">
      <c r="B225" s="63"/>
      <c r="D225" s="14"/>
      <c r="E225" s="63"/>
    </row>
    <row r="226" spans="2:5" ht="15.75" customHeight="1" x14ac:dyDescent="0.2">
      <c r="B226" s="63"/>
      <c r="D226" s="14"/>
      <c r="E226" s="63"/>
    </row>
    <row r="227" spans="2:5" ht="15.75" customHeight="1" x14ac:dyDescent="0.2">
      <c r="B227" s="63"/>
      <c r="D227" s="14"/>
      <c r="E227" s="63"/>
    </row>
    <row r="228" spans="2:5" ht="15.75" customHeight="1" x14ac:dyDescent="0.2">
      <c r="B228" s="63"/>
      <c r="D228" s="14"/>
      <c r="E228" s="63"/>
    </row>
    <row r="229" spans="2:5" ht="15.75" customHeight="1" x14ac:dyDescent="0.2">
      <c r="B229" s="63"/>
      <c r="D229" s="14"/>
      <c r="E229" s="63"/>
    </row>
    <row r="230" spans="2:5" ht="15.75" customHeight="1" x14ac:dyDescent="0.2">
      <c r="B230" s="63"/>
      <c r="D230" s="14"/>
      <c r="E230" s="63"/>
    </row>
    <row r="231" spans="2:5" ht="15.75" customHeight="1" x14ac:dyDescent="0.2">
      <c r="B231" s="63"/>
      <c r="D231" s="14"/>
      <c r="E231" s="63"/>
    </row>
    <row r="232" spans="2:5" ht="15.75" customHeight="1" x14ac:dyDescent="0.2">
      <c r="B232" s="63"/>
      <c r="D232" s="14"/>
      <c r="E232" s="63"/>
    </row>
    <row r="233" spans="2:5" ht="15.75" customHeight="1" x14ac:dyDescent="0.2">
      <c r="B233" s="63"/>
      <c r="D233" s="14"/>
      <c r="E233" s="63"/>
    </row>
    <row r="234" spans="2:5" ht="15.75" customHeight="1" x14ac:dyDescent="0.2">
      <c r="B234" s="63"/>
      <c r="D234" s="14"/>
      <c r="E234" s="63"/>
    </row>
    <row r="235" spans="2:5" ht="15.75" customHeight="1" x14ac:dyDescent="0.2">
      <c r="B235" s="63"/>
      <c r="D235" s="14"/>
      <c r="E235" s="63"/>
    </row>
    <row r="236" spans="2:5" ht="15.75" customHeight="1" x14ac:dyDescent="0.2">
      <c r="B236" s="63"/>
      <c r="D236" s="14"/>
      <c r="E236" s="63"/>
    </row>
    <row r="237" spans="2:5" ht="15.75" customHeight="1" x14ac:dyDescent="0.2">
      <c r="B237" s="63"/>
      <c r="D237" s="14"/>
      <c r="E237" s="63"/>
    </row>
    <row r="238" spans="2:5" ht="15.75" customHeight="1" x14ac:dyDescent="0.2">
      <c r="B238" s="63"/>
      <c r="D238" s="14"/>
      <c r="E238" s="63"/>
    </row>
    <row r="239" spans="2:5" ht="15.75" customHeight="1" x14ac:dyDescent="0.2">
      <c r="B239" s="63"/>
      <c r="D239" s="14"/>
      <c r="E239" s="63"/>
    </row>
    <row r="240" spans="2:5" ht="15.75" customHeight="1" x14ac:dyDescent="0.2">
      <c r="B240" s="63"/>
      <c r="D240" s="14"/>
      <c r="E240" s="63"/>
    </row>
    <row r="241" spans="2:5" ht="15.75" customHeight="1" x14ac:dyDescent="0.2">
      <c r="B241" s="63"/>
      <c r="D241" s="14"/>
      <c r="E241" s="63"/>
    </row>
    <row r="242" spans="2:5" ht="15.75" customHeight="1" x14ac:dyDescent="0.2">
      <c r="B242" s="63"/>
      <c r="D242" s="14"/>
      <c r="E242" s="63"/>
    </row>
    <row r="243" spans="2:5" ht="15.75" customHeight="1" x14ac:dyDescent="0.2">
      <c r="B243" s="63"/>
      <c r="D243" s="14"/>
      <c r="E243" s="63"/>
    </row>
    <row r="244" spans="2:5" ht="15.75" customHeight="1" x14ac:dyDescent="0.2">
      <c r="B244" s="63"/>
      <c r="D244" s="14"/>
      <c r="E244" s="63"/>
    </row>
    <row r="245" spans="2:5" ht="15.75" customHeight="1" x14ac:dyDescent="0.2">
      <c r="B245" s="63"/>
      <c r="D245" s="14"/>
      <c r="E245" s="63"/>
    </row>
    <row r="246" spans="2:5" ht="15.75" customHeight="1" x14ac:dyDescent="0.2">
      <c r="B246" s="63"/>
      <c r="D246" s="14"/>
      <c r="E246" s="63"/>
    </row>
    <row r="247" spans="2:5" ht="15.75" customHeight="1" x14ac:dyDescent="0.2">
      <c r="B247" s="63"/>
      <c r="D247" s="14"/>
      <c r="E247" s="63"/>
    </row>
    <row r="248" spans="2:5" ht="15.75" customHeight="1" x14ac:dyDescent="0.2">
      <c r="B248" s="63"/>
      <c r="D248" s="14"/>
      <c r="E248" s="63"/>
    </row>
    <row r="249" spans="2:5" ht="15.75" customHeight="1" x14ac:dyDescent="0.2">
      <c r="B249" s="63"/>
      <c r="D249" s="14"/>
      <c r="E249" s="63"/>
    </row>
    <row r="250" spans="2:5" ht="15.75" customHeight="1" x14ac:dyDescent="0.2">
      <c r="B250" s="63"/>
      <c r="D250" s="14"/>
      <c r="E250" s="63"/>
    </row>
    <row r="251" spans="2:5" ht="15.75" customHeight="1" x14ac:dyDescent="0.2">
      <c r="B251" s="63"/>
      <c r="D251" s="14"/>
      <c r="E251" s="63"/>
    </row>
    <row r="252" spans="2:5" ht="15.75" customHeight="1" x14ac:dyDescent="0.2">
      <c r="B252" s="63"/>
      <c r="D252" s="14"/>
      <c r="E252" s="63"/>
    </row>
    <row r="253" spans="2:5" ht="15.75" customHeight="1" x14ac:dyDescent="0.2">
      <c r="B253" s="63"/>
      <c r="D253" s="14"/>
      <c r="E253" s="63"/>
    </row>
    <row r="254" spans="2:5" ht="15.75" customHeight="1" x14ac:dyDescent="0.2">
      <c r="B254" s="63"/>
      <c r="D254" s="14"/>
      <c r="E254" s="63"/>
    </row>
    <row r="255" spans="2:5" ht="15.75" customHeight="1" x14ac:dyDescent="0.2">
      <c r="B255" s="63"/>
      <c r="D255" s="14"/>
      <c r="E255" s="63"/>
    </row>
    <row r="256" spans="2:5" ht="15.75" customHeight="1" x14ac:dyDescent="0.2">
      <c r="B256" s="63"/>
      <c r="D256" s="14"/>
      <c r="E256" s="63"/>
    </row>
    <row r="257" spans="2:5" ht="15.75" customHeight="1" x14ac:dyDescent="0.2">
      <c r="B257" s="63"/>
      <c r="D257" s="14"/>
      <c r="E257" s="63"/>
    </row>
    <row r="258" spans="2:5" ht="15.75" customHeight="1" x14ac:dyDescent="0.2">
      <c r="B258" s="63"/>
      <c r="D258" s="14"/>
      <c r="E258" s="63"/>
    </row>
    <row r="259" spans="2:5" ht="15.75" customHeight="1" x14ac:dyDescent="0.2">
      <c r="B259" s="63"/>
      <c r="D259" s="14"/>
      <c r="E259" s="63"/>
    </row>
    <row r="260" spans="2:5" ht="15.75" customHeight="1" x14ac:dyDescent="0.2">
      <c r="B260" s="63"/>
      <c r="D260" s="14"/>
      <c r="E260" s="63"/>
    </row>
    <row r="261" spans="2:5" ht="15.75" customHeight="1" x14ac:dyDescent="0.2">
      <c r="B261" s="63"/>
      <c r="D261" s="14"/>
      <c r="E261" s="63"/>
    </row>
    <row r="262" spans="2:5" ht="15.75" customHeight="1" x14ac:dyDescent="0.2">
      <c r="B262" s="63"/>
      <c r="D262" s="14"/>
      <c r="E262" s="63"/>
    </row>
    <row r="263" spans="2:5" ht="15.75" customHeight="1" x14ac:dyDescent="0.2">
      <c r="B263" s="63"/>
      <c r="D263" s="14"/>
      <c r="E263" s="63"/>
    </row>
    <row r="264" spans="2:5" ht="15.75" customHeight="1" x14ac:dyDescent="0.2">
      <c r="B264" s="63"/>
      <c r="D264" s="14"/>
      <c r="E264" s="63"/>
    </row>
    <row r="265" spans="2:5" ht="15.75" customHeight="1" x14ac:dyDescent="0.2">
      <c r="B265" s="63"/>
      <c r="D265" s="14"/>
      <c r="E265" s="63"/>
    </row>
    <row r="266" spans="2:5" ht="15.75" customHeight="1" x14ac:dyDescent="0.2">
      <c r="B266" s="63"/>
      <c r="D266" s="14"/>
      <c r="E266" s="63"/>
    </row>
    <row r="267" spans="2:5" ht="15.75" customHeight="1" x14ac:dyDescent="0.2">
      <c r="B267" s="63"/>
      <c r="D267" s="14"/>
      <c r="E267" s="63"/>
    </row>
    <row r="268" spans="2:5" ht="15.75" customHeight="1" x14ac:dyDescent="0.2">
      <c r="B268" s="63"/>
      <c r="D268" s="14"/>
      <c r="E268" s="63"/>
    </row>
    <row r="269" spans="2:5" ht="15.75" customHeight="1" x14ac:dyDescent="0.2">
      <c r="B269" s="63"/>
      <c r="D269" s="14"/>
      <c r="E269" s="63"/>
    </row>
    <row r="270" spans="2:5" ht="15.75" customHeight="1" x14ac:dyDescent="0.2">
      <c r="B270" s="63"/>
      <c r="D270" s="14"/>
      <c r="E270" s="63"/>
    </row>
    <row r="271" spans="2:5" ht="15.75" customHeight="1" x14ac:dyDescent="0.2">
      <c r="B271" s="63"/>
      <c r="D271" s="14"/>
      <c r="E271" s="63"/>
    </row>
    <row r="272" spans="2:5" ht="15.75" customHeight="1" x14ac:dyDescent="0.2">
      <c r="B272" s="63"/>
      <c r="D272" s="14"/>
      <c r="E272" s="63"/>
    </row>
    <row r="273" spans="2:5" ht="15.75" customHeight="1" x14ac:dyDescent="0.2">
      <c r="B273" s="63"/>
      <c r="D273" s="14"/>
      <c r="E273" s="63"/>
    </row>
    <row r="274" spans="2:5" ht="15.75" customHeight="1" x14ac:dyDescent="0.2">
      <c r="B274" s="63"/>
      <c r="D274" s="14"/>
      <c r="E274" s="63"/>
    </row>
    <row r="275" spans="2:5" ht="15.75" customHeight="1" x14ac:dyDescent="0.2">
      <c r="B275" s="63"/>
      <c r="D275" s="14"/>
      <c r="E275" s="63"/>
    </row>
    <row r="276" spans="2:5" ht="15.75" customHeight="1" x14ac:dyDescent="0.2">
      <c r="B276" s="63"/>
      <c r="D276" s="14"/>
      <c r="E276" s="63"/>
    </row>
    <row r="277" spans="2:5" ht="15.75" customHeight="1" x14ac:dyDescent="0.2">
      <c r="B277" s="63"/>
      <c r="D277" s="14"/>
      <c r="E277" s="63"/>
    </row>
    <row r="278" spans="2:5" ht="15.75" customHeight="1" x14ac:dyDescent="0.2">
      <c r="B278" s="63"/>
      <c r="D278" s="14"/>
      <c r="E278" s="63"/>
    </row>
    <row r="279" spans="2:5" ht="15.75" customHeight="1" x14ac:dyDescent="0.2">
      <c r="B279" s="63"/>
      <c r="D279" s="14"/>
      <c r="E279" s="63"/>
    </row>
    <row r="280" spans="2:5" ht="15.75" customHeight="1" x14ac:dyDescent="0.2">
      <c r="B280" s="63"/>
      <c r="D280" s="14"/>
      <c r="E280" s="63"/>
    </row>
    <row r="281" spans="2:5" ht="15.75" customHeight="1" x14ac:dyDescent="0.2">
      <c r="B281" s="63"/>
      <c r="D281" s="14"/>
      <c r="E281" s="63"/>
    </row>
    <row r="282" spans="2:5" ht="15.75" customHeight="1" x14ac:dyDescent="0.2">
      <c r="B282" s="63"/>
      <c r="D282" s="14"/>
      <c r="E282" s="63"/>
    </row>
    <row r="283" spans="2:5" ht="15.75" customHeight="1" x14ac:dyDescent="0.2">
      <c r="B283" s="63"/>
      <c r="D283" s="14"/>
      <c r="E283" s="63"/>
    </row>
    <row r="284" spans="2:5" ht="15.75" customHeight="1" x14ac:dyDescent="0.2">
      <c r="B284" s="63"/>
      <c r="D284" s="14"/>
      <c r="E284" s="63"/>
    </row>
    <row r="285" spans="2:5" ht="15.75" customHeight="1" x14ac:dyDescent="0.2">
      <c r="B285" s="63"/>
      <c r="D285" s="14"/>
      <c r="E285" s="63"/>
    </row>
    <row r="286" spans="2:5" ht="15.75" customHeight="1" x14ac:dyDescent="0.2">
      <c r="B286" s="63"/>
      <c r="D286" s="14"/>
      <c r="E286" s="63"/>
    </row>
    <row r="287" spans="2:5" ht="15.75" customHeight="1" x14ac:dyDescent="0.2">
      <c r="B287" s="63"/>
      <c r="D287" s="14"/>
      <c r="E287" s="63"/>
    </row>
    <row r="288" spans="2:5" ht="15.75" customHeight="1" x14ac:dyDescent="0.2">
      <c r="B288" s="63"/>
      <c r="D288" s="14"/>
      <c r="E288" s="63"/>
    </row>
    <row r="289" spans="2:5" ht="15.75" customHeight="1" x14ac:dyDescent="0.2">
      <c r="B289" s="63"/>
      <c r="D289" s="14"/>
      <c r="E289" s="63"/>
    </row>
    <row r="290" spans="2:5" ht="15.75" customHeight="1" x14ac:dyDescent="0.2">
      <c r="B290" s="63"/>
      <c r="D290" s="14"/>
      <c r="E290" s="63"/>
    </row>
    <row r="291" spans="2:5" ht="15.75" customHeight="1" x14ac:dyDescent="0.2">
      <c r="B291" s="63"/>
      <c r="D291" s="14"/>
      <c r="E291" s="63"/>
    </row>
    <row r="292" spans="2:5" ht="15.75" customHeight="1" x14ac:dyDescent="0.2">
      <c r="B292" s="63"/>
      <c r="D292" s="14"/>
      <c r="E292" s="63"/>
    </row>
    <row r="293" spans="2:5" ht="15.75" customHeight="1" x14ac:dyDescent="0.2">
      <c r="B293" s="63"/>
      <c r="D293" s="14"/>
      <c r="E293" s="63"/>
    </row>
    <row r="294" spans="2:5" ht="15.75" customHeight="1" x14ac:dyDescent="0.2">
      <c r="B294" s="63"/>
      <c r="D294" s="14"/>
      <c r="E294" s="63"/>
    </row>
    <row r="295" spans="2:5" ht="15.75" customHeight="1" x14ac:dyDescent="0.2">
      <c r="B295" s="63"/>
      <c r="D295" s="14"/>
      <c r="E295" s="63"/>
    </row>
    <row r="296" spans="2:5" ht="15.75" customHeight="1" x14ac:dyDescent="0.2">
      <c r="B296" s="63"/>
      <c r="D296" s="14"/>
      <c r="E296" s="63"/>
    </row>
    <row r="297" spans="2:5" ht="15.75" customHeight="1" x14ac:dyDescent="0.2">
      <c r="B297" s="63"/>
      <c r="D297" s="14"/>
      <c r="E297" s="63"/>
    </row>
    <row r="298" spans="2:5" ht="15.75" customHeight="1" x14ac:dyDescent="0.2">
      <c r="B298" s="63"/>
      <c r="D298" s="14"/>
      <c r="E298" s="63"/>
    </row>
    <row r="299" spans="2:5" ht="15.75" customHeight="1" x14ac:dyDescent="0.2">
      <c r="B299" s="63"/>
      <c r="D299" s="14"/>
      <c r="E299" s="63"/>
    </row>
    <row r="300" spans="2:5" ht="15.75" customHeight="1" x14ac:dyDescent="0.2">
      <c r="B300" s="63"/>
      <c r="D300" s="14"/>
      <c r="E300" s="63"/>
    </row>
    <row r="301" spans="2:5" ht="15.75" customHeight="1" x14ac:dyDescent="0.2">
      <c r="B301" s="63"/>
      <c r="D301" s="14"/>
      <c r="E301" s="63"/>
    </row>
    <row r="302" spans="2:5" ht="15.75" customHeight="1" x14ac:dyDescent="0.2">
      <c r="B302" s="63"/>
      <c r="D302" s="14"/>
      <c r="E302" s="63"/>
    </row>
    <row r="303" spans="2:5" ht="15.75" customHeight="1" x14ac:dyDescent="0.2">
      <c r="B303" s="63"/>
      <c r="D303" s="14"/>
      <c r="E303" s="63"/>
    </row>
    <row r="304" spans="2:5" ht="15.75" customHeight="1" x14ac:dyDescent="0.2">
      <c r="B304" s="63"/>
      <c r="D304" s="14"/>
      <c r="E304" s="63"/>
    </row>
    <row r="305" spans="2:5" ht="15.75" customHeight="1" x14ac:dyDescent="0.2">
      <c r="B305" s="63"/>
      <c r="D305" s="14"/>
      <c r="E305" s="63"/>
    </row>
    <row r="306" spans="2:5" ht="15.75" customHeight="1" x14ac:dyDescent="0.2">
      <c r="B306" s="63"/>
      <c r="D306" s="14"/>
      <c r="E306" s="63"/>
    </row>
    <row r="307" spans="2:5" ht="15.75" customHeight="1" x14ac:dyDescent="0.2">
      <c r="B307" s="63"/>
      <c r="D307" s="14"/>
      <c r="E307" s="63"/>
    </row>
    <row r="308" spans="2:5" ht="15.75" customHeight="1" x14ac:dyDescent="0.2">
      <c r="B308" s="63"/>
      <c r="D308" s="14"/>
      <c r="E308" s="63"/>
    </row>
    <row r="309" spans="2:5" ht="15.75" customHeight="1" x14ac:dyDescent="0.2">
      <c r="B309" s="63"/>
      <c r="D309" s="14"/>
      <c r="E309" s="63"/>
    </row>
    <row r="310" spans="2:5" ht="15.75" customHeight="1" x14ac:dyDescent="0.2">
      <c r="B310" s="63"/>
      <c r="D310" s="14"/>
      <c r="E310" s="63"/>
    </row>
    <row r="311" spans="2:5" ht="15.75" customHeight="1" x14ac:dyDescent="0.2">
      <c r="B311" s="63"/>
      <c r="D311" s="14"/>
      <c r="E311" s="63"/>
    </row>
    <row r="312" spans="2:5" ht="15.75" customHeight="1" x14ac:dyDescent="0.2">
      <c r="B312" s="63"/>
      <c r="D312" s="14"/>
      <c r="E312" s="63"/>
    </row>
    <row r="313" spans="2:5" ht="15.75" customHeight="1" x14ac:dyDescent="0.2">
      <c r="B313" s="63"/>
      <c r="D313" s="14"/>
      <c r="E313" s="63"/>
    </row>
    <row r="314" spans="2:5" ht="15.75" customHeight="1" x14ac:dyDescent="0.2">
      <c r="B314" s="63"/>
      <c r="D314" s="14"/>
      <c r="E314" s="63"/>
    </row>
    <row r="315" spans="2:5" ht="15.75" customHeight="1" x14ac:dyDescent="0.2">
      <c r="B315" s="63"/>
      <c r="D315" s="14"/>
      <c r="E315" s="63"/>
    </row>
    <row r="316" spans="2:5" ht="15.75" customHeight="1" x14ac:dyDescent="0.2">
      <c r="B316" s="63"/>
      <c r="D316" s="14"/>
      <c r="E316" s="63"/>
    </row>
    <row r="317" spans="2:5" ht="15.75" customHeight="1" x14ac:dyDescent="0.2">
      <c r="B317" s="63"/>
      <c r="D317" s="14"/>
      <c r="E317" s="63"/>
    </row>
    <row r="318" spans="2:5" ht="15.75" customHeight="1" x14ac:dyDescent="0.2">
      <c r="B318" s="63"/>
      <c r="D318" s="14"/>
      <c r="E318" s="63"/>
    </row>
    <row r="319" spans="2:5" ht="15.75" customHeight="1" x14ac:dyDescent="0.2">
      <c r="B319" s="63"/>
      <c r="D319" s="14"/>
      <c r="E319" s="63"/>
    </row>
    <row r="320" spans="2:5" ht="15.75" customHeight="1" x14ac:dyDescent="0.2">
      <c r="B320" s="63"/>
      <c r="D320" s="14"/>
      <c r="E320" s="63"/>
    </row>
    <row r="321" spans="2:5" ht="15.75" customHeight="1" x14ac:dyDescent="0.2">
      <c r="B321" s="63"/>
      <c r="D321" s="14"/>
      <c r="E321" s="63"/>
    </row>
    <row r="322" spans="2:5" ht="15.75" customHeight="1" x14ac:dyDescent="0.2">
      <c r="B322" s="63"/>
      <c r="D322" s="14"/>
      <c r="E322" s="63"/>
    </row>
    <row r="323" spans="2:5" ht="15.75" customHeight="1" x14ac:dyDescent="0.2">
      <c r="B323" s="63"/>
      <c r="D323" s="14"/>
      <c r="E323" s="63"/>
    </row>
    <row r="324" spans="2:5" ht="15.75" customHeight="1" x14ac:dyDescent="0.2">
      <c r="B324" s="63"/>
      <c r="D324" s="14"/>
      <c r="E324" s="63"/>
    </row>
    <row r="325" spans="2:5" ht="15.75" customHeight="1" x14ac:dyDescent="0.2">
      <c r="B325" s="63"/>
      <c r="D325" s="14"/>
      <c r="E325" s="63"/>
    </row>
    <row r="326" spans="2:5" ht="15.75" customHeight="1" x14ac:dyDescent="0.2">
      <c r="B326" s="63"/>
      <c r="D326" s="14"/>
      <c r="E326" s="63"/>
    </row>
    <row r="327" spans="2:5" ht="15.75" customHeight="1" x14ac:dyDescent="0.2">
      <c r="B327" s="63"/>
      <c r="D327" s="14"/>
      <c r="E327" s="63"/>
    </row>
    <row r="328" spans="2:5" ht="15.75" customHeight="1" x14ac:dyDescent="0.2">
      <c r="B328" s="63"/>
      <c r="D328" s="14"/>
      <c r="E328" s="63"/>
    </row>
    <row r="329" spans="2:5" ht="15.75" customHeight="1" x14ac:dyDescent="0.2">
      <c r="B329" s="63"/>
      <c r="D329" s="14"/>
      <c r="E329" s="63"/>
    </row>
    <row r="330" spans="2:5" ht="15.75" customHeight="1" x14ac:dyDescent="0.2">
      <c r="B330" s="63"/>
      <c r="D330" s="14"/>
      <c r="E330" s="63"/>
    </row>
    <row r="331" spans="2:5" ht="15.75" customHeight="1" x14ac:dyDescent="0.2">
      <c r="B331" s="63"/>
      <c r="D331" s="14"/>
      <c r="E331" s="63"/>
    </row>
    <row r="332" spans="2:5" ht="15.75" customHeight="1" x14ac:dyDescent="0.2">
      <c r="B332" s="63"/>
      <c r="D332" s="14"/>
      <c r="E332" s="63"/>
    </row>
    <row r="333" spans="2:5" ht="15.75" customHeight="1" x14ac:dyDescent="0.2">
      <c r="B333" s="63"/>
      <c r="D333" s="14"/>
      <c r="E333" s="63"/>
    </row>
    <row r="334" spans="2:5" ht="15.75" customHeight="1" x14ac:dyDescent="0.2">
      <c r="B334" s="63"/>
      <c r="D334" s="14"/>
      <c r="E334" s="63"/>
    </row>
    <row r="335" spans="2:5" ht="15.75" customHeight="1" x14ac:dyDescent="0.2">
      <c r="B335" s="63"/>
      <c r="D335" s="14"/>
      <c r="E335" s="63"/>
    </row>
    <row r="336" spans="2:5" ht="15.75" customHeight="1" x14ac:dyDescent="0.2">
      <c r="B336" s="63"/>
      <c r="D336" s="14"/>
      <c r="E336" s="63"/>
    </row>
    <row r="337" spans="2:5" ht="15.75" customHeight="1" x14ac:dyDescent="0.2">
      <c r="B337" s="63"/>
      <c r="D337" s="14"/>
      <c r="E337" s="63"/>
    </row>
    <row r="338" spans="2:5" ht="15.75" customHeight="1" x14ac:dyDescent="0.2">
      <c r="B338" s="63"/>
      <c r="D338" s="14"/>
      <c r="E338" s="63"/>
    </row>
    <row r="339" spans="2:5" ht="15.75" customHeight="1" x14ac:dyDescent="0.2">
      <c r="B339" s="63"/>
      <c r="D339" s="14"/>
      <c r="E339" s="63"/>
    </row>
    <row r="340" spans="2:5" ht="15.75" customHeight="1" x14ac:dyDescent="0.2">
      <c r="B340" s="63"/>
      <c r="D340" s="14"/>
      <c r="E340" s="63"/>
    </row>
    <row r="341" spans="2:5" ht="15.75" customHeight="1" x14ac:dyDescent="0.2">
      <c r="B341" s="63"/>
      <c r="D341" s="14"/>
      <c r="E341" s="63"/>
    </row>
    <row r="342" spans="2:5" ht="15.75" customHeight="1" x14ac:dyDescent="0.2">
      <c r="B342" s="63"/>
      <c r="D342" s="14"/>
      <c r="E342" s="63"/>
    </row>
    <row r="343" spans="2:5" ht="15.75" customHeight="1" x14ac:dyDescent="0.2">
      <c r="B343" s="63"/>
      <c r="D343" s="14"/>
      <c r="E343" s="63"/>
    </row>
    <row r="344" spans="2:5" ht="15.75" customHeight="1" x14ac:dyDescent="0.2">
      <c r="B344" s="63"/>
      <c r="D344" s="14"/>
      <c r="E344" s="63"/>
    </row>
    <row r="345" spans="2:5" ht="15.75" customHeight="1" x14ac:dyDescent="0.2">
      <c r="B345" s="63"/>
      <c r="D345" s="14"/>
      <c r="E345" s="63"/>
    </row>
    <row r="346" spans="2:5" ht="15.75" customHeight="1" x14ac:dyDescent="0.2">
      <c r="B346" s="63"/>
      <c r="D346" s="14"/>
      <c r="E346" s="63"/>
    </row>
    <row r="347" spans="2:5" ht="15.75" customHeight="1" x14ac:dyDescent="0.2">
      <c r="B347" s="63"/>
      <c r="D347" s="14"/>
      <c r="E347" s="63"/>
    </row>
    <row r="348" spans="2:5" ht="15.75" customHeight="1" x14ac:dyDescent="0.2">
      <c r="B348" s="63"/>
      <c r="D348" s="14"/>
      <c r="E348" s="63"/>
    </row>
    <row r="349" spans="2:5" ht="15.75" customHeight="1" x14ac:dyDescent="0.2">
      <c r="B349" s="63"/>
      <c r="D349" s="14"/>
      <c r="E349" s="63"/>
    </row>
    <row r="350" spans="2:5" ht="15.75" customHeight="1" x14ac:dyDescent="0.2">
      <c r="B350" s="63"/>
      <c r="D350" s="14"/>
      <c r="E350" s="63"/>
    </row>
    <row r="351" spans="2:5" ht="15.75" customHeight="1" x14ac:dyDescent="0.2">
      <c r="B351" s="63"/>
      <c r="D351" s="14"/>
      <c r="E351" s="63"/>
    </row>
    <row r="352" spans="2:5" ht="15.75" customHeight="1" x14ac:dyDescent="0.2">
      <c r="B352" s="63"/>
      <c r="D352" s="14"/>
      <c r="E352" s="63"/>
    </row>
    <row r="353" spans="2:5" ht="15.75" customHeight="1" x14ac:dyDescent="0.2">
      <c r="B353" s="63"/>
      <c r="D353" s="14"/>
      <c r="E353" s="63"/>
    </row>
    <row r="354" spans="2:5" ht="15.75" customHeight="1" x14ac:dyDescent="0.2">
      <c r="B354" s="63"/>
      <c r="D354" s="14"/>
      <c r="E354" s="63"/>
    </row>
    <row r="355" spans="2:5" ht="15.75" customHeight="1" x14ac:dyDescent="0.2">
      <c r="B355" s="63"/>
      <c r="D355" s="14"/>
      <c r="E355" s="63"/>
    </row>
    <row r="356" spans="2:5" ht="15.75" customHeight="1" x14ac:dyDescent="0.2">
      <c r="B356" s="63"/>
      <c r="D356" s="14"/>
      <c r="E356" s="63"/>
    </row>
    <row r="357" spans="2:5" ht="15.75" customHeight="1" x14ac:dyDescent="0.2">
      <c r="B357" s="63"/>
      <c r="D357" s="14"/>
      <c r="E357" s="63"/>
    </row>
    <row r="358" spans="2:5" ht="15.75" customHeight="1" x14ac:dyDescent="0.2">
      <c r="B358" s="63"/>
      <c r="D358" s="14"/>
      <c r="E358" s="63"/>
    </row>
    <row r="359" spans="2:5" ht="15.75" customHeight="1" x14ac:dyDescent="0.2">
      <c r="B359" s="63"/>
      <c r="D359" s="14"/>
      <c r="E359" s="63"/>
    </row>
    <row r="360" spans="2:5" ht="15.75" customHeight="1" x14ac:dyDescent="0.2">
      <c r="B360" s="63"/>
      <c r="D360" s="14"/>
      <c r="E360" s="63"/>
    </row>
    <row r="361" spans="2:5" ht="15.75" customHeight="1" x14ac:dyDescent="0.2">
      <c r="B361" s="63"/>
      <c r="D361" s="14"/>
      <c r="E361" s="63"/>
    </row>
    <row r="362" spans="2:5" ht="15.75" customHeight="1" x14ac:dyDescent="0.2">
      <c r="B362" s="63"/>
      <c r="D362" s="14"/>
      <c r="E362" s="63"/>
    </row>
    <row r="363" spans="2:5" ht="15.75" customHeight="1" x14ac:dyDescent="0.2">
      <c r="B363" s="63"/>
      <c r="D363" s="14"/>
      <c r="E363" s="63"/>
    </row>
    <row r="364" spans="2:5" ht="15.75" customHeight="1" x14ac:dyDescent="0.2">
      <c r="B364" s="63"/>
      <c r="D364" s="14"/>
      <c r="E364" s="63"/>
    </row>
    <row r="365" spans="2:5" ht="15.75" customHeight="1" x14ac:dyDescent="0.2">
      <c r="B365" s="63"/>
      <c r="D365" s="14"/>
      <c r="E365" s="63"/>
    </row>
    <row r="366" spans="2:5" ht="15.75" customHeight="1" x14ac:dyDescent="0.2">
      <c r="B366" s="63"/>
      <c r="D366" s="14"/>
      <c r="E366" s="63"/>
    </row>
    <row r="367" spans="2:5" ht="15.75" customHeight="1" x14ac:dyDescent="0.2">
      <c r="B367" s="63"/>
      <c r="D367" s="14"/>
      <c r="E367" s="63"/>
    </row>
    <row r="368" spans="2:5" ht="15.75" customHeight="1" x14ac:dyDescent="0.2">
      <c r="B368" s="63"/>
      <c r="D368" s="14"/>
      <c r="E368" s="63"/>
    </row>
    <row r="369" spans="2:5" ht="15.75" customHeight="1" x14ac:dyDescent="0.2">
      <c r="B369" s="63"/>
      <c r="D369" s="14"/>
      <c r="E369" s="63"/>
    </row>
    <row r="370" spans="2:5" ht="15.75" customHeight="1" x14ac:dyDescent="0.2">
      <c r="B370" s="63"/>
      <c r="D370" s="14"/>
      <c r="E370" s="63"/>
    </row>
    <row r="371" spans="2:5" ht="15.75" customHeight="1" x14ac:dyDescent="0.2">
      <c r="B371" s="63"/>
      <c r="D371" s="14"/>
      <c r="E371" s="63"/>
    </row>
    <row r="372" spans="2:5" ht="15.75" customHeight="1" x14ac:dyDescent="0.2">
      <c r="B372" s="63"/>
      <c r="D372" s="14"/>
      <c r="E372" s="63"/>
    </row>
    <row r="373" spans="2:5" ht="15.75" customHeight="1" x14ac:dyDescent="0.2">
      <c r="B373" s="63"/>
      <c r="D373" s="14"/>
      <c r="E373" s="63"/>
    </row>
    <row r="374" spans="2:5" ht="15.75" customHeight="1" x14ac:dyDescent="0.2">
      <c r="B374" s="63"/>
      <c r="D374" s="14"/>
      <c r="E374" s="63"/>
    </row>
    <row r="375" spans="2:5" ht="15.75" customHeight="1" x14ac:dyDescent="0.2">
      <c r="B375" s="63"/>
      <c r="D375" s="14"/>
      <c r="E375" s="63"/>
    </row>
    <row r="376" spans="2:5" ht="15.75" customHeight="1" x14ac:dyDescent="0.2">
      <c r="B376" s="63"/>
      <c r="D376" s="14"/>
      <c r="E376" s="63"/>
    </row>
    <row r="377" spans="2:5" ht="15.75" customHeight="1" x14ac:dyDescent="0.2">
      <c r="B377" s="63"/>
      <c r="D377" s="14"/>
      <c r="E377" s="63"/>
    </row>
    <row r="378" spans="2:5" ht="15.75" customHeight="1" x14ac:dyDescent="0.2">
      <c r="B378" s="63"/>
      <c r="D378" s="14"/>
      <c r="E378" s="63"/>
    </row>
    <row r="379" spans="2:5" ht="15.75" customHeight="1" x14ac:dyDescent="0.2">
      <c r="B379" s="63"/>
      <c r="D379" s="14"/>
      <c r="E379" s="63"/>
    </row>
    <row r="380" spans="2:5" ht="15.75" customHeight="1" x14ac:dyDescent="0.2">
      <c r="B380" s="63"/>
      <c r="D380" s="14"/>
      <c r="E380" s="63"/>
    </row>
    <row r="381" spans="2:5" ht="15.75" customHeight="1" x14ac:dyDescent="0.2">
      <c r="B381" s="63"/>
      <c r="D381" s="14"/>
      <c r="E381" s="63"/>
    </row>
    <row r="382" spans="2:5" ht="15.75" customHeight="1" x14ac:dyDescent="0.2">
      <c r="B382" s="63"/>
      <c r="D382" s="14"/>
      <c r="E382" s="63"/>
    </row>
    <row r="383" spans="2:5" ht="15.75" customHeight="1" x14ac:dyDescent="0.2">
      <c r="B383" s="63"/>
      <c r="D383" s="14"/>
      <c r="E383" s="63"/>
    </row>
    <row r="384" spans="2:5" ht="15.75" customHeight="1" x14ac:dyDescent="0.2">
      <c r="B384" s="63"/>
      <c r="D384" s="14"/>
      <c r="E384" s="63"/>
    </row>
    <row r="385" spans="2:5" ht="15.75" customHeight="1" x14ac:dyDescent="0.2">
      <c r="B385" s="63"/>
      <c r="D385" s="14"/>
      <c r="E385" s="63"/>
    </row>
    <row r="386" spans="2:5" ht="15.75" customHeight="1" x14ac:dyDescent="0.2">
      <c r="B386" s="63"/>
      <c r="D386" s="14"/>
      <c r="E386" s="63"/>
    </row>
    <row r="387" spans="2:5" ht="15.75" customHeight="1" x14ac:dyDescent="0.2">
      <c r="B387" s="63"/>
      <c r="D387" s="14"/>
      <c r="E387" s="63"/>
    </row>
    <row r="388" spans="2:5" ht="15.75" customHeight="1" x14ac:dyDescent="0.2">
      <c r="B388" s="63"/>
      <c r="D388" s="14"/>
      <c r="E388" s="63"/>
    </row>
    <row r="389" spans="2:5" ht="15.75" customHeight="1" x14ac:dyDescent="0.2">
      <c r="B389" s="63"/>
      <c r="D389" s="14"/>
      <c r="E389" s="63"/>
    </row>
    <row r="390" spans="2:5" ht="15.75" customHeight="1" x14ac:dyDescent="0.2">
      <c r="B390" s="63"/>
      <c r="D390" s="14"/>
      <c r="E390" s="63"/>
    </row>
    <row r="391" spans="2:5" ht="15.75" customHeight="1" x14ac:dyDescent="0.2">
      <c r="B391" s="63"/>
      <c r="D391" s="14"/>
      <c r="E391" s="63"/>
    </row>
    <row r="392" spans="2:5" ht="15.75" customHeight="1" x14ac:dyDescent="0.2">
      <c r="B392" s="63"/>
      <c r="D392" s="14"/>
      <c r="E392" s="63"/>
    </row>
    <row r="393" spans="2:5" ht="15.75" customHeight="1" x14ac:dyDescent="0.2">
      <c r="B393" s="63"/>
      <c r="D393" s="14"/>
      <c r="E393" s="63"/>
    </row>
    <row r="394" spans="2:5" ht="15.75" customHeight="1" x14ac:dyDescent="0.2">
      <c r="B394" s="63"/>
      <c r="D394" s="14"/>
      <c r="E394" s="63"/>
    </row>
    <row r="395" spans="2:5" ht="15.75" customHeight="1" x14ac:dyDescent="0.2">
      <c r="B395" s="63"/>
      <c r="D395" s="14"/>
      <c r="E395" s="63"/>
    </row>
    <row r="396" spans="2:5" ht="15.75" customHeight="1" x14ac:dyDescent="0.2">
      <c r="B396" s="63"/>
      <c r="D396" s="14"/>
      <c r="E396" s="63"/>
    </row>
    <row r="397" spans="2:5" ht="15.75" customHeight="1" x14ac:dyDescent="0.2">
      <c r="B397" s="63"/>
      <c r="D397" s="14"/>
      <c r="E397" s="63"/>
    </row>
    <row r="398" spans="2:5" ht="15.75" customHeight="1" x14ac:dyDescent="0.2">
      <c r="B398" s="63"/>
      <c r="D398" s="14"/>
      <c r="E398" s="63"/>
    </row>
    <row r="399" spans="2:5" ht="15.75" customHeight="1" x14ac:dyDescent="0.2">
      <c r="B399" s="63"/>
      <c r="D399" s="14"/>
      <c r="E399" s="63"/>
    </row>
    <row r="400" spans="2:5" ht="15.75" customHeight="1" x14ac:dyDescent="0.2">
      <c r="B400" s="63"/>
      <c r="D400" s="14"/>
      <c r="E400" s="63"/>
    </row>
    <row r="401" spans="2:5" ht="15.75" customHeight="1" x14ac:dyDescent="0.2">
      <c r="B401" s="63"/>
      <c r="D401" s="14"/>
      <c r="E401" s="63"/>
    </row>
    <row r="402" spans="2:5" ht="15.75" customHeight="1" x14ac:dyDescent="0.2">
      <c r="B402" s="63"/>
      <c r="D402" s="14"/>
      <c r="E402" s="63"/>
    </row>
    <row r="403" spans="2:5" ht="15.75" customHeight="1" x14ac:dyDescent="0.2">
      <c r="B403" s="63"/>
      <c r="D403" s="14"/>
      <c r="E403" s="63"/>
    </row>
    <row r="404" spans="2:5" ht="15.75" customHeight="1" x14ac:dyDescent="0.2">
      <c r="B404" s="63"/>
      <c r="D404" s="14"/>
      <c r="E404" s="63"/>
    </row>
    <row r="405" spans="2:5" ht="15.75" customHeight="1" x14ac:dyDescent="0.2">
      <c r="B405" s="63"/>
      <c r="D405" s="14"/>
      <c r="E405" s="63"/>
    </row>
    <row r="406" spans="2:5" ht="15.75" customHeight="1" x14ac:dyDescent="0.2">
      <c r="B406" s="63"/>
      <c r="D406" s="14"/>
      <c r="E406" s="63"/>
    </row>
    <row r="407" spans="2:5" ht="15.75" customHeight="1" x14ac:dyDescent="0.2">
      <c r="B407" s="63"/>
      <c r="D407" s="14"/>
      <c r="E407" s="63"/>
    </row>
    <row r="408" spans="2:5" ht="15.75" customHeight="1" x14ac:dyDescent="0.2">
      <c r="B408" s="63"/>
      <c r="D408" s="14"/>
      <c r="E408" s="63"/>
    </row>
    <row r="409" spans="2:5" ht="15.75" customHeight="1" x14ac:dyDescent="0.2">
      <c r="B409" s="63"/>
      <c r="D409" s="14"/>
      <c r="E409" s="63"/>
    </row>
    <row r="410" spans="2:5" ht="15.75" customHeight="1" x14ac:dyDescent="0.2">
      <c r="B410" s="63"/>
      <c r="D410" s="14"/>
      <c r="E410" s="63"/>
    </row>
    <row r="411" spans="2:5" ht="15.75" customHeight="1" x14ac:dyDescent="0.2">
      <c r="B411" s="63"/>
      <c r="D411" s="14"/>
      <c r="E411" s="63"/>
    </row>
    <row r="412" spans="2:5" ht="15.75" customHeight="1" x14ac:dyDescent="0.2">
      <c r="B412" s="63"/>
      <c r="D412" s="14"/>
      <c r="E412" s="63"/>
    </row>
    <row r="413" spans="2:5" ht="15.75" customHeight="1" x14ac:dyDescent="0.2">
      <c r="B413" s="63"/>
      <c r="D413" s="14"/>
      <c r="E413" s="63"/>
    </row>
    <row r="414" spans="2:5" ht="15.75" customHeight="1" x14ac:dyDescent="0.2">
      <c r="B414" s="63"/>
      <c r="D414" s="14"/>
      <c r="E414" s="63"/>
    </row>
    <row r="415" spans="2:5" ht="15.75" customHeight="1" x14ac:dyDescent="0.2">
      <c r="B415" s="63"/>
      <c r="D415" s="14"/>
      <c r="E415" s="63"/>
    </row>
    <row r="416" spans="2:5" ht="15.75" customHeight="1" x14ac:dyDescent="0.2">
      <c r="B416" s="63"/>
      <c r="D416" s="14"/>
      <c r="E416" s="63"/>
    </row>
    <row r="417" spans="2:5" ht="15.75" customHeight="1" x14ac:dyDescent="0.2">
      <c r="B417" s="63"/>
      <c r="D417" s="14"/>
      <c r="E417" s="63"/>
    </row>
    <row r="418" spans="2:5" ht="15.75" customHeight="1" x14ac:dyDescent="0.2">
      <c r="B418" s="63"/>
      <c r="D418" s="14"/>
      <c r="E418" s="63"/>
    </row>
    <row r="419" spans="2:5" ht="15.75" customHeight="1" x14ac:dyDescent="0.2">
      <c r="B419" s="63"/>
      <c r="D419" s="14"/>
      <c r="E419" s="63"/>
    </row>
    <row r="420" spans="2:5" ht="15.75" customHeight="1" x14ac:dyDescent="0.2">
      <c r="B420" s="63"/>
      <c r="D420" s="14"/>
      <c r="E420" s="63"/>
    </row>
    <row r="421" spans="2:5" ht="15.75" customHeight="1" x14ac:dyDescent="0.2">
      <c r="B421" s="63"/>
      <c r="D421" s="14"/>
      <c r="E421" s="63"/>
    </row>
    <row r="422" spans="2:5" ht="15.75" customHeight="1" x14ac:dyDescent="0.2">
      <c r="B422" s="63"/>
      <c r="D422" s="14"/>
      <c r="E422" s="63"/>
    </row>
    <row r="423" spans="2:5" ht="15.75" customHeight="1" x14ac:dyDescent="0.2">
      <c r="B423" s="63"/>
      <c r="D423" s="14"/>
      <c r="E423" s="63"/>
    </row>
    <row r="424" spans="2:5" ht="15.75" customHeight="1" x14ac:dyDescent="0.2">
      <c r="B424" s="63"/>
      <c r="D424" s="14"/>
      <c r="E424" s="63"/>
    </row>
    <row r="425" spans="2:5" ht="15.75" customHeight="1" x14ac:dyDescent="0.2">
      <c r="B425" s="63"/>
      <c r="D425" s="14"/>
      <c r="E425" s="63"/>
    </row>
    <row r="426" spans="2:5" ht="15.75" customHeight="1" x14ac:dyDescent="0.2">
      <c r="B426" s="63"/>
      <c r="D426" s="14"/>
      <c r="E426" s="63"/>
    </row>
    <row r="427" spans="2:5" ht="15.75" customHeight="1" x14ac:dyDescent="0.2">
      <c r="B427" s="63"/>
      <c r="D427" s="14"/>
      <c r="E427" s="63"/>
    </row>
    <row r="428" spans="2:5" ht="15.75" customHeight="1" x14ac:dyDescent="0.2">
      <c r="B428" s="63"/>
      <c r="D428" s="14"/>
      <c r="E428" s="63"/>
    </row>
    <row r="429" spans="2:5" ht="15.75" customHeight="1" x14ac:dyDescent="0.2">
      <c r="B429" s="63"/>
      <c r="D429" s="14"/>
      <c r="E429" s="63"/>
    </row>
    <row r="430" spans="2:5" ht="15.75" customHeight="1" x14ac:dyDescent="0.2">
      <c r="B430" s="63"/>
      <c r="D430" s="14"/>
      <c r="E430" s="63"/>
    </row>
    <row r="431" spans="2:5" ht="15.75" customHeight="1" x14ac:dyDescent="0.2">
      <c r="B431" s="63"/>
      <c r="D431" s="14"/>
      <c r="E431" s="63"/>
    </row>
    <row r="432" spans="2:5" ht="15.75" customHeight="1" x14ac:dyDescent="0.2">
      <c r="B432" s="63"/>
      <c r="D432" s="14"/>
      <c r="E432" s="63"/>
    </row>
    <row r="433" spans="2:5" ht="15.75" customHeight="1" x14ac:dyDescent="0.2">
      <c r="B433" s="63"/>
      <c r="D433" s="14"/>
      <c r="E433" s="63"/>
    </row>
    <row r="434" spans="2:5" ht="15.75" customHeight="1" x14ac:dyDescent="0.2">
      <c r="B434" s="63"/>
      <c r="D434" s="14"/>
      <c r="E434" s="63"/>
    </row>
    <row r="435" spans="2:5" ht="15.75" customHeight="1" x14ac:dyDescent="0.2">
      <c r="B435" s="63"/>
      <c r="D435" s="14"/>
      <c r="E435" s="63"/>
    </row>
    <row r="436" spans="2:5" ht="15.75" customHeight="1" x14ac:dyDescent="0.2">
      <c r="B436" s="63"/>
      <c r="D436" s="14"/>
      <c r="E436" s="63"/>
    </row>
    <row r="437" spans="2:5" ht="15.75" customHeight="1" x14ac:dyDescent="0.2">
      <c r="B437" s="63"/>
      <c r="D437" s="14"/>
      <c r="E437" s="63"/>
    </row>
    <row r="438" spans="2:5" ht="15.75" customHeight="1" x14ac:dyDescent="0.2">
      <c r="B438" s="63"/>
      <c r="D438" s="14"/>
      <c r="E438" s="63"/>
    </row>
    <row r="439" spans="2:5" ht="15.75" customHeight="1" x14ac:dyDescent="0.2">
      <c r="B439" s="63"/>
      <c r="D439" s="14"/>
      <c r="E439" s="63"/>
    </row>
    <row r="440" spans="2:5" ht="15.75" customHeight="1" x14ac:dyDescent="0.2">
      <c r="B440" s="63"/>
      <c r="D440" s="14"/>
      <c r="E440" s="63"/>
    </row>
    <row r="441" spans="2:5" ht="15.75" customHeight="1" x14ac:dyDescent="0.2">
      <c r="B441" s="63"/>
      <c r="D441" s="14"/>
      <c r="E441" s="63"/>
    </row>
    <row r="442" spans="2:5" ht="15.75" customHeight="1" x14ac:dyDescent="0.2">
      <c r="B442" s="63"/>
      <c r="D442" s="14"/>
      <c r="E442" s="63"/>
    </row>
    <row r="443" spans="2:5" ht="15.75" customHeight="1" x14ac:dyDescent="0.2">
      <c r="B443" s="63"/>
      <c r="D443" s="14"/>
      <c r="E443" s="63"/>
    </row>
    <row r="444" spans="2:5" ht="15.75" customHeight="1" x14ac:dyDescent="0.2">
      <c r="B444" s="63"/>
      <c r="D444" s="14"/>
      <c r="E444" s="63"/>
    </row>
    <row r="445" spans="2:5" ht="15.75" customHeight="1" x14ac:dyDescent="0.2">
      <c r="B445" s="63"/>
      <c r="D445" s="14"/>
      <c r="E445" s="63"/>
    </row>
    <row r="446" spans="2:5" ht="15.75" customHeight="1" x14ac:dyDescent="0.2">
      <c r="B446" s="63"/>
      <c r="D446" s="14"/>
      <c r="E446" s="63"/>
    </row>
    <row r="447" spans="2:5" ht="15.75" customHeight="1" x14ac:dyDescent="0.2">
      <c r="B447" s="63"/>
      <c r="D447" s="14"/>
      <c r="E447" s="63"/>
    </row>
    <row r="448" spans="2:5" ht="15.75" customHeight="1" x14ac:dyDescent="0.2">
      <c r="B448" s="63"/>
      <c r="D448" s="14"/>
      <c r="E448" s="63"/>
    </row>
    <row r="449" spans="2:5" ht="15.75" customHeight="1" x14ac:dyDescent="0.2">
      <c r="B449" s="63"/>
      <c r="D449" s="14"/>
      <c r="E449" s="63"/>
    </row>
    <row r="450" spans="2:5" ht="15.75" customHeight="1" x14ac:dyDescent="0.2">
      <c r="B450" s="63"/>
      <c r="D450" s="14"/>
      <c r="E450" s="63"/>
    </row>
    <row r="451" spans="2:5" ht="15.75" customHeight="1" x14ac:dyDescent="0.2">
      <c r="B451" s="63"/>
      <c r="D451" s="14"/>
      <c r="E451" s="63"/>
    </row>
    <row r="452" spans="2:5" ht="15.75" customHeight="1" x14ac:dyDescent="0.2">
      <c r="B452" s="63"/>
      <c r="D452" s="14"/>
      <c r="E452" s="63"/>
    </row>
    <row r="453" spans="2:5" ht="15.75" customHeight="1" x14ac:dyDescent="0.2">
      <c r="B453" s="63"/>
      <c r="D453" s="14"/>
      <c r="E453" s="63"/>
    </row>
    <row r="454" spans="2:5" ht="15.75" customHeight="1" x14ac:dyDescent="0.2">
      <c r="B454" s="63"/>
      <c r="D454" s="14"/>
      <c r="E454" s="63"/>
    </row>
    <row r="455" spans="2:5" ht="15.75" customHeight="1" x14ac:dyDescent="0.2">
      <c r="B455" s="63"/>
      <c r="D455" s="14"/>
      <c r="E455" s="63"/>
    </row>
    <row r="456" spans="2:5" ht="15.75" customHeight="1" x14ac:dyDescent="0.2">
      <c r="B456" s="63"/>
      <c r="D456" s="14"/>
      <c r="E456" s="63"/>
    </row>
    <row r="457" spans="2:5" ht="15.75" customHeight="1" x14ac:dyDescent="0.2">
      <c r="B457" s="63"/>
      <c r="D457" s="14"/>
      <c r="E457" s="63"/>
    </row>
    <row r="458" spans="2:5" ht="15.75" customHeight="1" x14ac:dyDescent="0.2">
      <c r="B458" s="63"/>
      <c r="D458" s="14"/>
      <c r="E458" s="63"/>
    </row>
    <row r="459" spans="2:5" ht="15.75" customHeight="1" x14ac:dyDescent="0.2">
      <c r="B459" s="63"/>
      <c r="D459" s="14"/>
      <c r="E459" s="63"/>
    </row>
    <row r="460" spans="2:5" ht="15.75" customHeight="1" x14ac:dyDescent="0.2">
      <c r="B460" s="63"/>
      <c r="D460" s="14"/>
      <c r="E460" s="63"/>
    </row>
    <row r="461" spans="2:5" ht="15.75" customHeight="1" x14ac:dyDescent="0.2">
      <c r="B461" s="63"/>
      <c r="D461" s="14"/>
      <c r="E461" s="63"/>
    </row>
    <row r="462" spans="2:5" ht="15.75" customHeight="1" x14ac:dyDescent="0.2">
      <c r="B462" s="63"/>
      <c r="D462" s="14"/>
      <c r="E462" s="63"/>
    </row>
    <row r="463" spans="2:5" ht="15.75" customHeight="1" x14ac:dyDescent="0.2">
      <c r="B463" s="63"/>
      <c r="D463" s="14"/>
      <c r="E463" s="63"/>
    </row>
    <row r="464" spans="2:5" ht="15.75" customHeight="1" x14ac:dyDescent="0.2">
      <c r="B464" s="63"/>
      <c r="D464" s="14"/>
      <c r="E464" s="63"/>
    </row>
    <row r="465" spans="2:5" ht="15.75" customHeight="1" x14ac:dyDescent="0.2">
      <c r="B465" s="63"/>
      <c r="D465" s="14"/>
      <c r="E465" s="63"/>
    </row>
    <row r="466" spans="2:5" ht="15.75" customHeight="1" x14ac:dyDescent="0.2">
      <c r="B466" s="63"/>
      <c r="D466" s="14"/>
      <c r="E466" s="63"/>
    </row>
    <row r="467" spans="2:5" ht="15.75" customHeight="1" x14ac:dyDescent="0.2">
      <c r="B467" s="63"/>
      <c r="D467" s="14"/>
      <c r="E467" s="63"/>
    </row>
    <row r="468" spans="2:5" ht="15.75" customHeight="1" x14ac:dyDescent="0.2">
      <c r="B468" s="63"/>
      <c r="D468" s="14"/>
      <c r="E468" s="63"/>
    </row>
    <row r="469" spans="2:5" ht="15.75" customHeight="1" x14ac:dyDescent="0.2">
      <c r="B469" s="63"/>
      <c r="D469" s="14"/>
      <c r="E469" s="63"/>
    </row>
    <row r="470" spans="2:5" ht="15.75" customHeight="1" x14ac:dyDescent="0.2">
      <c r="B470" s="63"/>
      <c r="D470" s="14"/>
      <c r="E470" s="63"/>
    </row>
    <row r="471" spans="2:5" ht="15.75" customHeight="1" x14ac:dyDescent="0.2">
      <c r="B471" s="63"/>
      <c r="D471" s="14"/>
      <c r="E471" s="63"/>
    </row>
    <row r="472" spans="2:5" ht="15.75" customHeight="1" x14ac:dyDescent="0.2">
      <c r="B472" s="63"/>
      <c r="D472" s="14"/>
      <c r="E472" s="63"/>
    </row>
    <row r="473" spans="2:5" ht="15.75" customHeight="1" x14ac:dyDescent="0.2">
      <c r="B473" s="63"/>
      <c r="D473" s="14"/>
      <c r="E473" s="63"/>
    </row>
    <row r="474" spans="2:5" ht="15.75" customHeight="1" x14ac:dyDescent="0.2">
      <c r="B474" s="63"/>
      <c r="D474" s="14"/>
      <c r="E474" s="63"/>
    </row>
    <row r="475" spans="2:5" ht="15.75" customHeight="1" x14ac:dyDescent="0.2">
      <c r="B475" s="63"/>
      <c r="D475" s="14"/>
      <c r="E475" s="63"/>
    </row>
    <row r="476" spans="2:5" ht="15.75" customHeight="1" x14ac:dyDescent="0.2">
      <c r="B476" s="63"/>
      <c r="D476" s="14"/>
      <c r="E476" s="63"/>
    </row>
    <row r="477" spans="2:5" ht="15.75" customHeight="1" x14ac:dyDescent="0.2">
      <c r="B477" s="63"/>
      <c r="D477" s="14"/>
      <c r="E477" s="63"/>
    </row>
    <row r="478" spans="2:5" ht="15.75" customHeight="1" x14ac:dyDescent="0.2">
      <c r="B478" s="63"/>
      <c r="D478" s="14"/>
      <c r="E478" s="63"/>
    </row>
    <row r="479" spans="2:5" ht="15.75" customHeight="1" x14ac:dyDescent="0.2">
      <c r="B479" s="63"/>
      <c r="D479" s="14"/>
      <c r="E479" s="63"/>
    </row>
    <row r="480" spans="2:5" ht="15.75" customHeight="1" x14ac:dyDescent="0.2">
      <c r="B480" s="63"/>
      <c r="D480" s="14"/>
      <c r="E480" s="63"/>
    </row>
    <row r="481" spans="2:5" ht="15.75" customHeight="1" x14ac:dyDescent="0.2">
      <c r="B481" s="63"/>
      <c r="D481" s="14"/>
      <c r="E481" s="63"/>
    </row>
    <row r="482" spans="2:5" ht="15.75" customHeight="1" x14ac:dyDescent="0.2">
      <c r="B482" s="63"/>
      <c r="D482" s="14"/>
      <c r="E482" s="63"/>
    </row>
    <row r="483" spans="2:5" ht="15.75" customHeight="1" x14ac:dyDescent="0.2">
      <c r="B483" s="63"/>
      <c r="D483" s="14"/>
      <c r="E483" s="63"/>
    </row>
    <row r="484" spans="2:5" ht="15.75" customHeight="1" x14ac:dyDescent="0.2">
      <c r="B484" s="63"/>
      <c r="D484" s="14"/>
      <c r="E484" s="63"/>
    </row>
    <row r="485" spans="2:5" ht="15.75" customHeight="1" x14ac:dyDescent="0.2">
      <c r="B485" s="63"/>
      <c r="D485" s="14"/>
      <c r="E485" s="63"/>
    </row>
    <row r="486" spans="2:5" ht="15.75" customHeight="1" x14ac:dyDescent="0.2">
      <c r="B486" s="63"/>
      <c r="D486" s="14"/>
      <c r="E486" s="63"/>
    </row>
    <row r="487" spans="2:5" ht="15.75" customHeight="1" x14ac:dyDescent="0.2">
      <c r="B487" s="63"/>
      <c r="D487" s="14"/>
      <c r="E487" s="63"/>
    </row>
    <row r="488" spans="2:5" ht="15.75" customHeight="1" x14ac:dyDescent="0.2">
      <c r="B488" s="63"/>
      <c r="D488" s="14"/>
      <c r="E488" s="63"/>
    </row>
    <row r="489" spans="2:5" ht="15.75" customHeight="1" x14ac:dyDescent="0.2">
      <c r="B489" s="63"/>
      <c r="D489" s="14"/>
      <c r="E489" s="63"/>
    </row>
    <row r="490" spans="2:5" ht="15.75" customHeight="1" x14ac:dyDescent="0.2">
      <c r="B490" s="63"/>
      <c r="D490" s="14"/>
      <c r="E490" s="63"/>
    </row>
    <row r="491" spans="2:5" ht="15.75" customHeight="1" x14ac:dyDescent="0.2">
      <c r="B491" s="63"/>
      <c r="D491" s="14"/>
      <c r="E491" s="63"/>
    </row>
    <row r="492" spans="2:5" ht="15.75" customHeight="1" x14ac:dyDescent="0.2">
      <c r="B492" s="63"/>
      <c r="D492" s="14"/>
      <c r="E492" s="63"/>
    </row>
    <row r="493" spans="2:5" ht="15.75" customHeight="1" x14ac:dyDescent="0.2">
      <c r="B493" s="63"/>
      <c r="D493" s="14"/>
      <c r="E493" s="63"/>
    </row>
    <row r="494" spans="2:5" ht="15.75" customHeight="1" x14ac:dyDescent="0.2">
      <c r="B494" s="63"/>
      <c r="D494" s="14"/>
      <c r="E494" s="63"/>
    </row>
    <row r="495" spans="2:5" ht="15.75" customHeight="1" x14ac:dyDescent="0.2">
      <c r="B495" s="63"/>
      <c r="D495" s="14"/>
      <c r="E495" s="63"/>
    </row>
    <row r="496" spans="2:5" ht="15.75" customHeight="1" x14ac:dyDescent="0.2">
      <c r="B496" s="63"/>
      <c r="D496" s="14"/>
      <c r="E496" s="63"/>
    </row>
    <row r="497" spans="2:5" ht="15.75" customHeight="1" x14ac:dyDescent="0.2">
      <c r="B497" s="63"/>
      <c r="D497" s="14"/>
      <c r="E497" s="63"/>
    </row>
    <row r="498" spans="2:5" ht="15.75" customHeight="1" x14ac:dyDescent="0.2">
      <c r="B498" s="63"/>
      <c r="D498" s="14"/>
      <c r="E498" s="63"/>
    </row>
    <row r="499" spans="2:5" ht="15.75" customHeight="1" x14ac:dyDescent="0.2">
      <c r="B499" s="63"/>
      <c r="D499" s="14"/>
      <c r="E499" s="63"/>
    </row>
    <row r="500" spans="2:5" ht="15.75" customHeight="1" x14ac:dyDescent="0.2">
      <c r="B500" s="63"/>
      <c r="D500" s="14"/>
      <c r="E500" s="63"/>
    </row>
    <row r="501" spans="2:5" ht="15.75" customHeight="1" x14ac:dyDescent="0.2">
      <c r="B501" s="63"/>
      <c r="D501" s="14"/>
      <c r="E501" s="63"/>
    </row>
    <row r="502" spans="2:5" ht="15.75" customHeight="1" x14ac:dyDescent="0.2">
      <c r="B502" s="63"/>
      <c r="D502" s="14"/>
      <c r="E502" s="63"/>
    </row>
    <row r="503" spans="2:5" ht="15.75" customHeight="1" x14ac:dyDescent="0.2">
      <c r="B503" s="63"/>
      <c r="D503" s="14"/>
      <c r="E503" s="63"/>
    </row>
    <row r="504" spans="2:5" ht="15.75" customHeight="1" x14ac:dyDescent="0.2">
      <c r="B504" s="63"/>
      <c r="D504" s="14"/>
      <c r="E504" s="63"/>
    </row>
    <row r="505" spans="2:5" ht="15.75" customHeight="1" x14ac:dyDescent="0.2">
      <c r="B505" s="63"/>
      <c r="D505" s="14"/>
      <c r="E505" s="63"/>
    </row>
    <row r="506" spans="2:5" ht="15.75" customHeight="1" x14ac:dyDescent="0.2">
      <c r="B506" s="63"/>
      <c r="D506" s="14"/>
      <c r="E506" s="63"/>
    </row>
    <row r="507" spans="2:5" ht="15.75" customHeight="1" x14ac:dyDescent="0.2">
      <c r="B507" s="63"/>
      <c r="D507" s="14"/>
      <c r="E507" s="63"/>
    </row>
    <row r="508" spans="2:5" ht="15.75" customHeight="1" x14ac:dyDescent="0.2">
      <c r="B508" s="63"/>
      <c r="D508" s="14"/>
      <c r="E508" s="63"/>
    </row>
    <row r="509" spans="2:5" ht="15.75" customHeight="1" x14ac:dyDescent="0.2">
      <c r="B509" s="63"/>
      <c r="D509" s="14"/>
      <c r="E509" s="63"/>
    </row>
    <row r="510" spans="2:5" ht="15.75" customHeight="1" x14ac:dyDescent="0.2">
      <c r="B510" s="63"/>
      <c r="D510" s="14"/>
      <c r="E510" s="63"/>
    </row>
    <row r="511" spans="2:5" ht="15.75" customHeight="1" x14ac:dyDescent="0.2">
      <c r="B511" s="63"/>
      <c r="D511" s="14"/>
      <c r="E511" s="63"/>
    </row>
    <row r="512" spans="2:5" ht="15.75" customHeight="1" x14ac:dyDescent="0.2">
      <c r="B512" s="63"/>
      <c r="D512" s="14"/>
      <c r="E512" s="63"/>
    </row>
    <row r="513" spans="2:5" ht="15.75" customHeight="1" x14ac:dyDescent="0.2">
      <c r="B513" s="63"/>
      <c r="D513" s="14"/>
      <c r="E513" s="63"/>
    </row>
    <row r="514" spans="2:5" ht="15.75" customHeight="1" x14ac:dyDescent="0.2">
      <c r="B514" s="63"/>
      <c r="D514" s="14"/>
      <c r="E514" s="63"/>
    </row>
    <row r="515" spans="2:5" ht="15.75" customHeight="1" x14ac:dyDescent="0.2">
      <c r="B515" s="63"/>
      <c r="D515" s="14"/>
      <c r="E515" s="63"/>
    </row>
    <row r="516" spans="2:5" ht="15.75" customHeight="1" x14ac:dyDescent="0.2">
      <c r="B516" s="63"/>
      <c r="D516" s="14"/>
      <c r="E516" s="63"/>
    </row>
    <row r="517" spans="2:5" ht="15.75" customHeight="1" x14ac:dyDescent="0.2">
      <c r="B517" s="63"/>
      <c r="D517" s="14"/>
      <c r="E517" s="63"/>
    </row>
    <row r="518" spans="2:5" ht="15.75" customHeight="1" x14ac:dyDescent="0.2">
      <c r="B518" s="63"/>
      <c r="D518" s="14"/>
      <c r="E518" s="63"/>
    </row>
    <row r="519" spans="2:5" ht="15.75" customHeight="1" x14ac:dyDescent="0.2">
      <c r="B519" s="63"/>
      <c r="D519" s="14"/>
      <c r="E519" s="63"/>
    </row>
    <row r="520" spans="2:5" ht="15.75" customHeight="1" x14ac:dyDescent="0.2">
      <c r="B520" s="63"/>
      <c r="D520" s="14"/>
      <c r="E520" s="63"/>
    </row>
    <row r="521" spans="2:5" ht="15.75" customHeight="1" x14ac:dyDescent="0.2">
      <c r="B521" s="63"/>
      <c r="D521" s="14"/>
      <c r="E521" s="63"/>
    </row>
    <row r="522" spans="2:5" ht="15.75" customHeight="1" x14ac:dyDescent="0.2">
      <c r="B522" s="63"/>
      <c r="D522" s="14"/>
      <c r="E522" s="63"/>
    </row>
    <row r="523" spans="2:5" ht="15.75" customHeight="1" x14ac:dyDescent="0.2">
      <c r="B523" s="63"/>
      <c r="D523" s="14"/>
      <c r="E523" s="63"/>
    </row>
    <row r="524" spans="2:5" ht="15.75" customHeight="1" x14ac:dyDescent="0.2">
      <c r="B524" s="63"/>
      <c r="D524" s="14"/>
      <c r="E524" s="63"/>
    </row>
    <row r="525" spans="2:5" ht="15.75" customHeight="1" x14ac:dyDescent="0.2">
      <c r="B525" s="63"/>
      <c r="D525" s="14"/>
      <c r="E525" s="63"/>
    </row>
    <row r="526" spans="2:5" ht="15.75" customHeight="1" x14ac:dyDescent="0.2">
      <c r="B526" s="63"/>
      <c r="D526" s="14"/>
      <c r="E526" s="63"/>
    </row>
    <row r="527" spans="2:5" ht="15.75" customHeight="1" x14ac:dyDescent="0.2">
      <c r="B527" s="63"/>
      <c r="D527" s="14"/>
      <c r="E527" s="63"/>
    </row>
    <row r="528" spans="2:5" ht="15.75" customHeight="1" x14ac:dyDescent="0.2">
      <c r="B528" s="63"/>
      <c r="D528" s="14"/>
      <c r="E528" s="63"/>
    </row>
    <row r="529" spans="2:5" ht="15.75" customHeight="1" x14ac:dyDescent="0.2">
      <c r="B529" s="63"/>
      <c r="D529" s="14"/>
      <c r="E529" s="63"/>
    </row>
    <row r="530" spans="2:5" ht="15.75" customHeight="1" x14ac:dyDescent="0.2">
      <c r="B530" s="63"/>
      <c r="D530" s="14"/>
      <c r="E530" s="63"/>
    </row>
    <row r="531" spans="2:5" ht="15.75" customHeight="1" x14ac:dyDescent="0.2">
      <c r="B531" s="63"/>
      <c r="D531" s="14"/>
      <c r="E531" s="63"/>
    </row>
    <row r="532" spans="2:5" ht="15.75" customHeight="1" x14ac:dyDescent="0.2">
      <c r="B532" s="63"/>
      <c r="D532" s="14"/>
      <c r="E532" s="63"/>
    </row>
    <row r="533" spans="2:5" ht="15.75" customHeight="1" x14ac:dyDescent="0.2">
      <c r="B533" s="63"/>
      <c r="D533" s="14"/>
      <c r="E533" s="63"/>
    </row>
    <row r="534" spans="2:5" ht="15.75" customHeight="1" x14ac:dyDescent="0.2">
      <c r="B534" s="63"/>
      <c r="D534" s="14"/>
      <c r="E534" s="63"/>
    </row>
    <row r="535" spans="2:5" ht="15.75" customHeight="1" x14ac:dyDescent="0.2">
      <c r="B535" s="63"/>
      <c r="D535" s="14"/>
      <c r="E535" s="63"/>
    </row>
    <row r="536" spans="2:5" ht="15.75" customHeight="1" x14ac:dyDescent="0.2">
      <c r="B536" s="63"/>
      <c r="D536" s="14"/>
      <c r="E536" s="63"/>
    </row>
    <row r="537" spans="2:5" ht="15.75" customHeight="1" x14ac:dyDescent="0.2">
      <c r="B537" s="63"/>
      <c r="D537" s="14"/>
      <c r="E537" s="63"/>
    </row>
    <row r="538" spans="2:5" ht="15.75" customHeight="1" x14ac:dyDescent="0.2">
      <c r="B538" s="63"/>
      <c r="D538" s="14"/>
      <c r="E538" s="63"/>
    </row>
    <row r="539" spans="2:5" ht="15.75" customHeight="1" x14ac:dyDescent="0.2">
      <c r="B539" s="63"/>
      <c r="D539" s="14"/>
      <c r="E539" s="63"/>
    </row>
    <row r="540" spans="2:5" ht="15.75" customHeight="1" x14ac:dyDescent="0.2">
      <c r="B540" s="63"/>
      <c r="D540" s="14"/>
      <c r="E540" s="63"/>
    </row>
    <row r="541" spans="2:5" ht="15.75" customHeight="1" x14ac:dyDescent="0.2">
      <c r="B541" s="63"/>
      <c r="D541" s="14"/>
      <c r="E541" s="63"/>
    </row>
    <row r="542" spans="2:5" ht="15.75" customHeight="1" x14ac:dyDescent="0.2">
      <c r="B542" s="63"/>
      <c r="D542" s="14"/>
      <c r="E542" s="63"/>
    </row>
    <row r="543" spans="2:5" ht="15.75" customHeight="1" x14ac:dyDescent="0.2">
      <c r="B543" s="63"/>
      <c r="D543" s="14"/>
      <c r="E543" s="63"/>
    </row>
    <row r="544" spans="2:5" ht="15.75" customHeight="1" x14ac:dyDescent="0.2">
      <c r="B544" s="63"/>
      <c r="D544" s="14"/>
      <c r="E544" s="63"/>
    </row>
    <row r="545" spans="2:5" ht="15.75" customHeight="1" x14ac:dyDescent="0.2">
      <c r="B545" s="63"/>
      <c r="D545" s="14"/>
      <c r="E545" s="63"/>
    </row>
    <row r="546" spans="2:5" ht="15.75" customHeight="1" x14ac:dyDescent="0.2">
      <c r="B546" s="63"/>
      <c r="D546" s="14"/>
      <c r="E546" s="63"/>
    </row>
    <row r="547" spans="2:5" ht="15.75" customHeight="1" x14ac:dyDescent="0.2">
      <c r="B547" s="63"/>
      <c r="D547" s="14"/>
      <c r="E547" s="63"/>
    </row>
    <row r="548" spans="2:5" ht="15.75" customHeight="1" x14ac:dyDescent="0.2">
      <c r="B548" s="63"/>
      <c r="D548" s="14"/>
      <c r="E548" s="63"/>
    </row>
    <row r="549" spans="2:5" ht="15.75" customHeight="1" x14ac:dyDescent="0.2">
      <c r="B549" s="63"/>
      <c r="D549" s="14"/>
      <c r="E549" s="63"/>
    </row>
    <row r="550" spans="2:5" ht="15.75" customHeight="1" x14ac:dyDescent="0.2">
      <c r="B550" s="63"/>
      <c r="D550" s="14"/>
      <c r="E550" s="63"/>
    </row>
    <row r="551" spans="2:5" ht="15.75" customHeight="1" x14ac:dyDescent="0.2">
      <c r="B551" s="63"/>
      <c r="D551" s="14"/>
      <c r="E551" s="63"/>
    </row>
    <row r="552" spans="2:5" ht="15.75" customHeight="1" x14ac:dyDescent="0.2">
      <c r="B552" s="63"/>
      <c r="D552" s="14"/>
      <c r="E552" s="63"/>
    </row>
    <row r="553" spans="2:5" ht="15.75" customHeight="1" x14ac:dyDescent="0.2">
      <c r="B553" s="63"/>
      <c r="D553" s="14"/>
      <c r="E553" s="63"/>
    </row>
    <row r="554" spans="2:5" ht="15.75" customHeight="1" x14ac:dyDescent="0.2">
      <c r="B554" s="63"/>
      <c r="D554" s="14"/>
      <c r="E554" s="63"/>
    </row>
    <row r="555" spans="2:5" ht="15.75" customHeight="1" x14ac:dyDescent="0.2">
      <c r="B555" s="63"/>
      <c r="D555" s="14"/>
      <c r="E555" s="63"/>
    </row>
    <row r="556" spans="2:5" ht="15.75" customHeight="1" x14ac:dyDescent="0.2">
      <c r="B556" s="63"/>
      <c r="D556" s="14"/>
      <c r="E556" s="63"/>
    </row>
    <row r="557" spans="2:5" ht="15.75" customHeight="1" x14ac:dyDescent="0.2">
      <c r="B557" s="63"/>
      <c r="D557" s="14"/>
      <c r="E557" s="63"/>
    </row>
    <row r="558" spans="2:5" ht="15.75" customHeight="1" x14ac:dyDescent="0.2">
      <c r="B558" s="63"/>
      <c r="D558" s="14"/>
      <c r="E558" s="63"/>
    </row>
    <row r="559" spans="2:5" ht="15.75" customHeight="1" x14ac:dyDescent="0.2">
      <c r="B559" s="63"/>
      <c r="D559" s="14"/>
      <c r="E559" s="63"/>
    </row>
    <row r="560" spans="2:5" ht="15.75" customHeight="1" x14ac:dyDescent="0.2">
      <c r="B560" s="63"/>
      <c r="D560" s="14"/>
      <c r="E560" s="63"/>
    </row>
    <row r="561" spans="2:5" ht="15.75" customHeight="1" x14ac:dyDescent="0.2">
      <c r="B561" s="63"/>
      <c r="D561" s="14"/>
      <c r="E561" s="63"/>
    </row>
    <row r="562" spans="2:5" ht="15.75" customHeight="1" x14ac:dyDescent="0.2">
      <c r="B562" s="63"/>
      <c r="D562" s="14"/>
      <c r="E562" s="63"/>
    </row>
    <row r="563" spans="2:5" ht="15.75" customHeight="1" x14ac:dyDescent="0.2">
      <c r="B563" s="63"/>
      <c r="D563" s="14"/>
      <c r="E563" s="63"/>
    </row>
    <row r="564" spans="2:5" ht="15.75" customHeight="1" x14ac:dyDescent="0.2">
      <c r="B564" s="63"/>
      <c r="D564" s="14"/>
      <c r="E564" s="63"/>
    </row>
    <row r="565" spans="2:5" ht="15.75" customHeight="1" x14ac:dyDescent="0.2">
      <c r="B565" s="63"/>
      <c r="D565" s="14"/>
      <c r="E565" s="63"/>
    </row>
    <row r="566" spans="2:5" ht="15.75" customHeight="1" x14ac:dyDescent="0.2">
      <c r="B566" s="63"/>
      <c r="D566" s="14"/>
      <c r="E566" s="63"/>
    </row>
    <row r="567" spans="2:5" ht="15.75" customHeight="1" x14ac:dyDescent="0.2">
      <c r="B567" s="63"/>
      <c r="D567" s="14"/>
      <c r="E567" s="63"/>
    </row>
    <row r="568" spans="2:5" ht="15.75" customHeight="1" x14ac:dyDescent="0.2">
      <c r="B568" s="63"/>
      <c r="D568" s="14"/>
      <c r="E568" s="63"/>
    </row>
    <row r="569" spans="2:5" ht="15.75" customHeight="1" x14ac:dyDescent="0.2">
      <c r="B569" s="63"/>
      <c r="D569" s="14"/>
      <c r="E569" s="63"/>
    </row>
    <row r="570" spans="2:5" ht="15.75" customHeight="1" x14ac:dyDescent="0.2">
      <c r="B570" s="63"/>
      <c r="D570" s="14"/>
      <c r="E570" s="63"/>
    </row>
    <row r="571" spans="2:5" ht="15.75" customHeight="1" x14ac:dyDescent="0.2">
      <c r="B571" s="63"/>
      <c r="D571" s="14"/>
      <c r="E571" s="63"/>
    </row>
    <row r="572" spans="2:5" ht="15.75" customHeight="1" x14ac:dyDescent="0.2">
      <c r="B572" s="63"/>
      <c r="D572" s="14"/>
      <c r="E572" s="63"/>
    </row>
    <row r="573" spans="2:5" ht="15.75" customHeight="1" x14ac:dyDescent="0.2">
      <c r="B573" s="63"/>
      <c r="D573" s="14"/>
      <c r="E573" s="63"/>
    </row>
    <row r="574" spans="2:5" ht="15.75" customHeight="1" x14ac:dyDescent="0.2">
      <c r="B574" s="63"/>
      <c r="D574" s="14"/>
      <c r="E574" s="63"/>
    </row>
    <row r="575" spans="2:5" ht="15.75" customHeight="1" x14ac:dyDescent="0.2">
      <c r="B575" s="63"/>
      <c r="D575" s="14"/>
      <c r="E575" s="63"/>
    </row>
    <row r="576" spans="2:5" ht="15.75" customHeight="1" x14ac:dyDescent="0.2">
      <c r="B576" s="63"/>
      <c r="D576" s="14"/>
      <c r="E576" s="63"/>
    </row>
    <row r="577" spans="2:5" ht="15.75" customHeight="1" x14ac:dyDescent="0.2">
      <c r="B577" s="63"/>
      <c r="D577" s="14"/>
      <c r="E577" s="63"/>
    </row>
    <row r="578" spans="2:5" ht="15.75" customHeight="1" x14ac:dyDescent="0.2">
      <c r="B578" s="63"/>
      <c r="D578" s="14"/>
      <c r="E578" s="63"/>
    </row>
    <row r="579" spans="2:5" ht="15.75" customHeight="1" x14ac:dyDescent="0.2">
      <c r="B579" s="63"/>
      <c r="D579" s="14"/>
      <c r="E579" s="63"/>
    </row>
    <row r="580" spans="2:5" ht="15.75" customHeight="1" x14ac:dyDescent="0.2">
      <c r="B580" s="63"/>
      <c r="D580" s="14"/>
      <c r="E580" s="63"/>
    </row>
    <row r="581" spans="2:5" ht="15.75" customHeight="1" x14ac:dyDescent="0.2">
      <c r="B581" s="63"/>
      <c r="D581" s="14"/>
      <c r="E581" s="63"/>
    </row>
    <row r="582" spans="2:5" ht="15.75" customHeight="1" x14ac:dyDescent="0.2">
      <c r="B582" s="63"/>
      <c r="D582" s="14"/>
      <c r="E582" s="63"/>
    </row>
    <row r="583" spans="2:5" ht="15.75" customHeight="1" x14ac:dyDescent="0.2">
      <c r="B583" s="63"/>
      <c r="D583" s="14"/>
      <c r="E583" s="63"/>
    </row>
    <row r="584" spans="2:5" ht="15.75" customHeight="1" x14ac:dyDescent="0.2">
      <c r="B584" s="63"/>
      <c r="D584" s="14"/>
      <c r="E584" s="63"/>
    </row>
    <row r="585" spans="2:5" ht="15.75" customHeight="1" x14ac:dyDescent="0.2">
      <c r="B585" s="63"/>
      <c r="D585" s="14"/>
      <c r="E585" s="63"/>
    </row>
    <row r="586" spans="2:5" ht="15.75" customHeight="1" x14ac:dyDescent="0.2">
      <c r="B586" s="63"/>
      <c r="D586" s="14"/>
      <c r="E586" s="63"/>
    </row>
    <row r="587" spans="2:5" ht="15.75" customHeight="1" x14ac:dyDescent="0.2">
      <c r="B587" s="63"/>
      <c r="D587" s="14"/>
      <c r="E587" s="63"/>
    </row>
    <row r="588" spans="2:5" ht="15.75" customHeight="1" x14ac:dyDescent="0.2">
      <c r="B588" s="63"/>
      <c r="D588" s="14"/>
      <c r="E588" s="63"/>
    </row>
    <row r="589" spans="2:5" ht="15.75" customHeight="1" x14ac:dyDescent="0.2">
      <c r="B589" s="63"/>
      <c r="D589" s="14"/>
      <c r="E589" s="63"/>
    </row>
    <row r="590" spans="2:5" ht="15.75" customHeight="1" x14ac:dyDescent="0.2">
      <c r="B590" s="63"/>
      <c r="D590" s="14"/>
      <c r="E590" s="63"/>
    </row>
    <row r="591" spans="2:5" ht="15.75" customHeight="1" x14ac:dyDescent="0.2">
      <c r="B591" s="63"/>
      <c r="D591" s="14"/>
      <c r="E591" s="63"/>
    </row>
    <row r="592" spans="2:5" ht="15.75" customHeight="1" x14ac:dyDescent="0.2">
      <c r="B592" s="63"/>
      <c r="D592" s="14"/>
      <c r="E592" s="63"/>
    </row>
    <row r="593" spans="2:5" ht="15.75" customHeight="1" x14ac:dyDescent="0.2">
      <c r="B593" s="63"/>
      <c r="D593" s="14"/>
      <c r="E593" s="63"/>
    </row>
    <row r="594" spans="2:5" ht="15.75" customHeight="1" x14ac:dyDescent="0.2">
      <c r="B594" s="63"/>
      <c r="D594" s="14"/>
      <c r="E594" s="63"/>
    </row>
    <row r="595" spans="2:5" ht="15.75" customHeight="1" x14ac:dyDescent="0.2">
      <c r="B595" s="63"/>
      <c r="D595" s="14"/>
      <c r="E595" s="63"/>
    </row>
    <row r="596" spans="2:5" ht="15.75" customHeight="1" x14ac:dyDescent="0.2">
      <c r="B596" s="63"/>
      <c r="D596" s="14"/>
      <c r="E596" s="63"/>
    </row>
    <row r="597" spans="2:5" ht="15.75" customHeight="1" x14ac:dyDescent="0.2">
      <c r="B597" s="63"/>
      <c r="D597" s="14"/>
      <c r="E597" s="63"/>
    </row>
    <row r="598" spans="2:5" ht="15.75" customHeight="1" x14ac:dyDescent="0.2">
      <c r="B598" s="63"/>
      <c r="D598" s="14"/>
      <c r="E598" s="63"/>
    </row>
    <row r="599" spans="2:5" ht="15.75" customHeight="1" x14ac:dyDescent="0.2">
      <c r="B599" s="63"/>
      <c r="D599" s="14"/>
      <c r="E599" s="63"/>
    </row>
    <row r="600" spans="2:5" ht="15.75" customHeight="1" x14ac:dyDescent="0.2">
      <c r="B600" s="63"/>
      <c r="D600" s="14"/>
      <c r="E600" s="63"/>
    </row>
    <row r="601" spans="2:5" ht="15.75" customHeight="1" x14ac:dyDescent="0.2">
      <c r="B601" s="63"/>
      <c r="D601" s="14"/>
      <c r="E601" s="63"/>
    </row>
    <row r="602" spans="2:5" ht="15.75" customHeight="1" x14ac:dyDescent="0.2">
      <c r="B602" s="63"/>
      <c r="D602" s="14"/>
      <c r="E602" s="63"/>
    </row>
    <row r="603" spans="2:5" ht="15.75" customHeight="1" x14ac:dyDescent="0.2">
      <c r="B603" s="63"/>
      <c r="D603" s="14"/>
      <c r="E603" s="63"/>
    </row>
    <row r="604" spans="2:5" ht="15.75" customHeight="1" x14ac:dyDescent="0.2">
      <c r="B604" s="63"/>
      <c r="D604" s="14"/>
      <c r="E604" s="63"/>
    </row>
    <row r="605" spans="2:5" ht="15.75" customHeight="1" x14ac:dyDescent="0.2">
      <c r="B605" s="63"/>
      <c r="D605" s="14"/>
      <c r="E605" s="63"/>
    </row>
    <row r="606" spans="2:5" ht="15.75" customHeight="1" x14ac:dyDescent="0.2">
      <c r="B606" s="63"/>
      <c r="D606" s="14"/>
      <c r="E606" s="63"/>
    </row>
    <row r="607" spans="2:5" ht="15.75" customHeight="1" x14ac:dyDescent="0.2">
      <c r="B607" s="63"/>
      <c r="D607" s="14"/>
      <c r="E607" s="63"/>
    </row>
    <row r="608" spans="2:5" ht="15.75" customHeight="1" x14ac:dyDescent="0.2">
      <c r="B608" s="63"/>
      <c r="D608" s="14"/>
      <c r="E608" s="63"/>
    </row>
    <row r="609" spans="2:5" ht="15.75" customHeight="1" x14ac:dyDescent="0.2">
      <c r="B609" s="63"/>
      <c r="D609" s="14"/>
      <c r="E609" s="63"/>
    </row>
    <row r="610" spans="2:5" ht="15.75" customHeight="1" x14ac:dyDescent="0.2">
      <c r="B610" s="63"/>
      <c r="D610" s="14"/>
      <c r="E610" s="63"/>
    </row>
    <row r="611" spans="2:5" ht="15.75" customHeight="1" x14ac:dyDescent="0.2">
      <c r="B611" s="63"/>
      <c r="D611" s="14"/>
      <c r="E611" s="63"/>
    </row>
    <row r="612" spans="2:5" ht="15.75" customHeight="1" x14ac:dyDescent="0.2">
      <c r="B612" s="63"/>
      <c r="D612" s="14"/>
      <c r="E612" s="63"/>
    </row>
    <row r="613" spans="2:5" ht="15.75" customHeight="1" x14ac:dyDescent="0.2">
      <c r="B613" s="63"/>
      <c r="D613" s="14"/>
      <c r="E613" s="63"/>
    </row>
    <row r="614" spans="2:5" ht="15.75" customHeight="1" x14ac:dyDescent="0.2">
      <c r="B614" s="63"/>
      <c r="D614" s="14"/>
      <c r="E614" s="63"/>
    </row>
    <row r="615" spans="2:5" ht="15.75" customHeight="1" x14ac:dyDescent="0.2">
      <c r="B615" s="63"/>
      <c r="D615" s="14"/>
      <c r="E615" s="63"/>
    </row>
    <row r="616" spans="2:5" ht="15.75" customHeight="1" x14ac:dyDescent="0.2">
      <c r="B616" s="63"/>
      <c r="D616" s="14"/>
      <c r="E616" s="63"/>
    </row>
    <row r="617" spans="2:5" ht="15.75" customHeight="1" x14ac:dyDescent="0.2">
      <c r="B617" s="63"/>
      <c r="D617" s="14"/>
      <c r="E617" s="63"/>
    </row>
    <row r="618" spans="2:5" ht="15.75" customHeight="1" x14ac:dyDescent="0.2">
      <c r="B618" s="63"/>
      <c r="D618" s="14"/>
      <c r="E618" s="63"/>
    </row>
    <row r="619" spans="2:5" ht="15.75" customHeight="1" x14ac:dyDescent="0.2">
      <c r="B619" s="63"/>
      <c r="D619" s="14"/>
      <c r="E619" s="63"/>
    </row>
    <row r="620" spans="2:5" ht="15.75" customHeight="1" x14ac:dyDescent="0.2">
      <c r="B620" s="63"/>
      <c r="D620" s="14"/>
      <c r="E620" s="63"/>
    </row>
    <row r="621" spans="2:5" ht="15.75" customHeight="1" x14ac:dyDescent="0.2">
      <c r="B621" s="63"/>
      <c r="D621" s="14"/>
      <c r="E621" s="63"/>
    </row>
    <row r="622" spans="2:5" ht="15.75" customHeight="1" x14ac:dyDescent="0.2">
      <c r="B622" s="63"/>
      <c r="D622" s="14"/>
      <c r="E622" s="63"/>
    </row>
    <row r="623" spans="2:5" ht="15.75" customHeight="1" x14ac:dyDescent="0.2">
      <c r="B623" s="63"/>
      <c r="D623" s="14"/>
      <c r="E623" s="63"/>
    </row>
    <row r="624" spans="2:5" ht="15.75" customHeight="1" x14ac:dyDescent="0.2">
      <c r="B624" s="63"/>
      <c r="D624" s="14"/>
      <c r="E624" s="63"/>
    </row>
    <row r="625" spans="2:5" ht="15.75" customHeight="1" x14ac:dyDescent="0.2">
      <c r="B625" s="63"/>
      <c r="D625" s="14"/>
      <c r="E625" s="63"/>
    </row>
    <row r="626" spans="2:5" ht="15.75" customHeight="1" x14ac:dyDescent="0.2">
      <c r="B626" s="63"/>
      <c r="D626" s="14"/>
      <c r="E626" s="63"/>
    </row>
    <row r="627" spans="2:5" ht="15.75" customHeight="1" x14ac:dyDescent="0.2">
      <c r="B627" s="63"/>
      <c r="D627" s="14"/>
      <c r="E627" s="63"/>
    </row>
    <row r="628" spans="2:5" ht="15.75" customHeight="1" x14ac:dyDescent="0.2">
      <c r="B628" s="63"/>
      <c r="D628" s="14"/>
      <c r="E628" s="63"/>
    </row>
    <row r="629" spans="2:5" ht="15.75" customHeight="1" x14ac:dyDescent="0.2">
      <c r="B629" s="63"/>
      <c r="D629" s="14"/>
      <c r="E629" s="63"/>
    </row>
    <row r="630" spans="2:5" ht="15.75" customHeight="1" x14ac:dyDescent="0.2">
      <c r="B630" s="63"/>
      <c r="D630" s="14"/>
      <c r="E630" s="63"/>
    </row>
    <row r="631" spans="2:5" ht="15.75" customHeight="1" x14ac:dyDescent="0.2">
      <c r="B631" s="63"/>
      <c r="D631" s="14"/>
      <c r="E631" s="63"/>
    </row>
    <row r="632" spans="2:5" ht="15.75" customHeight="1" x14ac:dyDescent="0.2">
      <c r="B632" s="63"/>
      <c r="D632" s="14"/>
      <c r="E632" s="63"/>
    </row>
    <row r="633" spans="2:5" ht="15.75" customHeight="1" x14ac:dyDescent="0.2">
      <c r="B633" s="63"/>
      <c r="D633" s="14"/>
      <c r="E633" s="63"/>
    </row>
    <row r="634" spans="2:5" ht="15.75" customHeight="1" x14ac:dyDescent="0.2">
      <c r="B634" s="63"/>
      <c r="D634" s="14"/>
      <c r="E634" s="63"/>
    </row>
    <row r="635" spans="2:5" ht="15.75" customHeight="1" x14ac:dyDescent="0.2">
      <c r="B635" s="63"/>
      <c r="D635" s="14"/>
      <c r="E635" s="63"/>
    </row>
    <row r="636" spans="2:5" ht="15.75" customHeight="1" x14ac:dyDescent="0.2">
      <c r="B636" s="63"/>
      <c r="D636" s="14"/>
      <c r="E636" s="63"/>
    </row>
    <row r="637" spans="2:5" ht="15.75" customHeight="1" x14ac:dyDescent="0.2">
      <c r="B637" s="63"/>
      <c r="D637" s="14"/>
      <c r="E637" s="63"/>
    </row>
    <row r="638" spans="2:5" ht="15.75" customHeight="1" x14ac:dyDescent="0.2">
      <c r="B638" s="63"/>
      <c r="D638" s="14"/>
      <c r="E638" s="63"/>
    </row>
    <row r="639" spans="2:5" ht="15.75" customHeight="1" x14ac:dyDescent="0.2">
      <c r="B639" s="63"/>
      <c r="D639" s="14"/>
      <c r="E639" s="63"/>
    </row>
    <row r="640" spans="2:5" ht="15.75" customHeight="1" x14ac:dyDescent="0.2">
      <c r="B640" s="63"/>
      <c r="D640" s="14"/>
      <c r="E640" s="63"/>
    </row>
    <row r="641" spans="2:5" ht="15.75" customHeight="1" x14ac:dyDescent="0.2">
      <c r="B641" s="63"/>
      <c r="D641" s="14"/>
      <c r="E641" s="63"/>
    </row>
    <row r="642" spans="2:5" ht="15.75" customHeight="1" x14ac:dyDescent="0.2">
      <c r="B642" s="63"/>
      <c r="D642" s="14"/>
      <c r="E642" s="63"/>
    </row>
    <row r="643" spans="2:5" ht="15.75" customHeight="1" x14ac:dyDescent="0.2">
      <c r="B643" s="63"/>
      <c r="D643" s="14"/>
      <c r="E643" s="63"/>
    </row>
    <row r="644" spans="2:5" ht="15.75" customHeight="1" x14ac:dyDescent="0.2">
      <c r="B644" s="63"/>
      <c r="D644" s="14"/>
      <c r="E644" s="63"/>
    </row>
    <row r="645" spans="2:5" ht="15.75" customHeight="1" x14ac:dyDescent="0.2">
      <c r="B645" s="63"/>
      <c r="D645" s="14"/>
      <c r="E645" s="63"/>
    </row>
    <row r="646" spans="2:5" ht="15.75" customHeight="1" x14ac:dyDescent="0.2">
      <c r="B646" s="63"/>
      <c r="D646" s="14"/>
      <c r="E646" s="63"/>
    </row>
    <row r="647" spans="2:5" ht="15.75" customHeight="1" x14ac:dyDescent="0.2">
      <c r="B647" s="63"/>
      <c r="D647" s="14"/>
      <c r="E647" s="63"/>
    </row>
    <row r="648" spans="2:5" ht="15.75" customHeight="1" x14ac:dyDescent="0.2">
      <c r="B648" s="63"/>
      <c r="D648" s="14"/>
      <c r="E648" s="63"/>
    </row>
    <row r="649" spans="2:5" ht="15.75" customHeight="1" x14ac:dyDescent="0.2">
      <c r="B649" s="63"/>
      <c r="D649" s="14"/>
      <c r="E649" s="63"/>
    </row>
    <row r="650" spans="2:5" ht="15.75" customHeight="1" x14ac:dyDescent="0.2">
      <c r="B650" s="63"/>
      <c r="D650" s="14"/>
      <c r="E650" s="63"/>
    </row>
    <row r="651" spans="2:5" ht="15.75" customHeight="1" x14ac:dyDescent="0.2">
      <c r="B651" s="63"/>
      <c r="D651" s="14"/>
      <c r="E651" s="63"/>
    </row>
    <row r="652" spans="2:5" ht="15.75" customHeight="1" x14ac:dyDescent="0.2">
      <c r="B652" s="63"/>
      <c r="D652" s="14"/>
      <c r="E652" s="63"/>
    </row>
    <row r="653" spans="2:5" ht="15.75" customHeight="1" x14ac:dyDescent="0.2">
      <c r="B653" s="63"/>
      <c r="D653" s="14"/>
      <c r="E653" s="63"/>
    </row>
    <row r="654" spans="2:5" ht="15.75" customHeight="1" x14ac:dyDescent="0.2">
      <c r="B654" s="63"/>
      <c r="D654" s="14"/>
      <c r="E654" s="63"/>
    </row>
    <row r="655" spans="2:5" ht="15.75" customHeight="1" x14ac:dyDescent="0.2">
      <c r="B655" s="63"/>
      <c r="D655" s="14"/>
      <c r="E655" s="63"/>
    </row>
    <row r="656" spans="2:5" ht="15.75" customHeight="1" x14ac:dyDescent="0.2">
      <c r="B656" s="63"/>
      <c r="D656" s="14"/>
      <c r="E656" s="63"/>
    </row>
    <row r="657" spans="2:5" ht="15.75" customHeight="1" x14ac:dyDescent="0.2">
      <c r="B657" s="63"/>
      <c r="D657" s="14"/>
      <c r="E657" s="63"/>
    </row>
    <row r="658" spans="2:5" ht="15.75" customHeight="1" x14ac:dyDescent="0.2">
      <c r="B658" s="63"/>
      <c r="D658" s="14"/>
      <c r="E658" s="63"/>
    </row>
    <row r="659" spans="2:5" ht="15.75" customHeight="1" x14ac:dyDescent="0.2">
      <c r="B659" s="63"/>
      <c r="D659" s="14"/>
      <c r="E659" s="63"/>
    </row>
    <row r="660" spans="2:5" ht="15.75" customHeight="1" x14ac:dyDescent="0.2">
      <c r="B660" s="63"/>
      <c r="D660" s="14"/>
      <c r="E660" s="63"/>
    </row>
    <row r="661" spans="2:5" ht="15.75" customHeight="1" x14ac:dyDescent="0.2">
      <c r="B661" s="63"/>
      <c r="D661" s="14"/>
      <c r="E661" s="63"/>
    </row>
    <row r="662" spans="2:5" ht="15.75" customHeight="1" x14ac:dyDescent="0.2">
      <c r="B662" s="63"/>
      <c r="D662" s="14"/>
      <c r="E662" s="63"/>
    </row>
    <row r="663" spans="2:5" ht="15.75" customHeight="1" x14ac:dyDescent="0.2">
      <c r="B663" s="63"/>
      <c r="D663" s="14"/>
      <c r="E663" s="63"/>
    </row>
    <row r="664" spans="2:5" ht="15.75" customHeight="1" x14ac:dyDescent="0.2">
      <c r="B664" s="63"/>
      <c r="D664" s="14"/>
      <c r="E664" s="63"/>
    </row>
    <row r="665" spans="2:5" ht="15.75" customHeight="1" x14ac:dyDescent="0.2">
      <c r="B665" s="63"/>
      <c r="D665" s="14"/>
      <c r="E665" s="63"/>
    </row>
    <row r="666" spans="2:5" ht="15.75" customHeight="1" x14ac:dyDescent="0.2">
      <c r="B666" s="63"/>
      <c r="D666" s="14"/>
      <c r="E666" s="63"/>
    </row>
    <row r="667" spans="2:5" ht="15.75" customHeight="1" x14ac:dyDescent="0.2">
      <c r="B667" s="63"/>
      <c r="D667" s="14"/>
      <c r="E667" s="63"/>
    </row>
    <row r="668" spans="2:5" ht="15.75" customHeight="1" x14ac:dyDescent="0.2">
      <c r="B668" s="63"/>
      <c r="D668" s="14"/>
      <c r="E668" s="63"/>
    </row>
    <row r="669" spans="2:5" ht="15.75" customHeight="1" x14ac:dyDescent="0.2">
      <c r="B669" s="63"/>
      <c r="D669" s="14"/>
      <c r="E669" s="63"/>
    </row>
    <row r="670" spans="2:5" ht="15.75" customHeight="1" x14ac:dyDescent="0.2">
      <c r="B670" s="63"/>
      <c r="D670" s="14"/>
      <c r="E670" s="63"/>
    </row>
    <row r="671" spans="2:5" ht="15.75" customHeight="1" x14ac:dyDescent="0.2">
      <c r="B671" s="63"/>
      <c r="D671" s="14"/>
      <c r="E671" s="63"/>
    </row>
    <row r="672" spans="2:5" ht="15.75" customHeight="1" x14ac:dyDescent="0.2">
      <c r="B672" s="63"/>
      <c r="D672" s="14"/>
      <c r="E672" s="63"/>
    </row>
    <row r="673" spans="2:5" ht="15.75" customHeight="1" x14ac:dyDescent="0.2">
      <c r="B673" s="63"/>
      <c r="D673" s="14"/>
      <c r="E673" s="63"/>
    </row>
    <row r="674" spans="2:5" ht="15.75" customHeight="1" x14ac:dyDescent="0.2">
      <c r="B674" s="63"/>
      <c r="D674" s="14"/>
      <c r="E674" s="63"/>
    </row>
    <row r="675" spans="2:5" ht="15.75" customHeight="1" x14ac:dyDescent="0.2">
      <c r="B675" s="63"/>
      <c r="D675" s="14"/>
      <c r="E675" s="63"/>
    </row>
    <row r="676" spans="2:5" ht="15.75" customHeight="1" x14ac:dyDescent="0.2">
      <c r="B676" s="63"/>
      <c r="D676" s="14"/>
      <c r="E676" s="63"/>
    </row>
    <row r="677" spans="2:5" ht="15.75" customHeight="1" x14ac:dyDescent="0.2">
      <c r="B677" s="63"/>
      <c r="D677" s="14"/>
      <c r="E677" s="63"/>
    </row>
    <row r="678" spans="2:5" ht="15.75" customHeight="1" x14ac:dyDescent="0.2">
      <c r="B678" s="63"/>
      <c r="D678" s="14"/>
      <c r="E678" s="63"/>
    </row>
    <row r="679" spans="2:5" ht="15.75" customHeight="1" x14ac:dyDescent="0.2">
      <c r="B679" s="63"/>
      <c r="D679" s="14"/>
      <c r="E679" s="63"/>
    </row>
    <row r="680" spans="2:5" ht="15.75" customHeight="1" x14ac:dyDescent="0.2">
      <c r="B680" s="63"/>
      <c r="D680" s="14"/>
      <c r="E680" s="63"/>
    </row>
    <row r="681" spans="2:5" ht="15.75" customHeight="1" x14ac:dyDescent="0.2">
      <c r="B681" s="63"/>
      <c r="D681" s="14"/>
      <c r="E681" s="63"/>
    </row>
    <row r="682" spans="2:5" ht="15.75" customHeight="1" x14ac:dyDescent="0.2">
      <c r="B682" s="63"/>
      <c r="D682" s="14"/>
      <c r="E682" s="63"/>
    </row>
    <row r="683" spans="2:5" ht="15.75" customHeight="1" x14ac:dyDescent="0.2">
      <c r="B683" s="63"/>
      <c r="D683" s="14"/>
      <c r="E683" s="63"/>
    </row>
    <row r="684" spans="2:5" ht="15.75" customHeight="1" x14ac:dyDescent="0.2">
      <c r="B684" s="63"/>
      <c r="D684" s="14"/>
      <c r="E684" s="63"/>
    </row>
    <row r="685" spans="2:5" ht="15.75" customHeight="1" x14ac:dyDescent="0.2">
      <c r="B685" s="63"/>
      <c r="D685" s="14"/>
      <c r="E685" s="63"/>
    </row>
    <row r="686" spans="2:5" ht="15.75" customHeight="1" x14ac:dyDescent="0.2">
      <c r="B686" s="63"/>
      <c r="D686" s="14"/>
      <c r="E686" s="63"/>
    </row>
    <row r="687" spans="2:5" ht="15.75" customHeight="1" x14ac:dyDescent="0.2">
      <c r="B687" s="63"/>
      <c r="D687" s="14"/>
      <c r="E687" s="63"/>
    </row>
    <row r="688" spans="2:5" ht="15.75" customHeight="1" x14ac:dyDescent="0.2">
      <c r="B688" s="63"/>
      <c r="D688" s="14"/>
      <c r="E688" s="63"/>
    </row>
    <row r="689" spans="2:5" ht="15.75" customHeight="1" x14ac:dyDescent="0.2">
      <c r="B689" s="63"/>
      <c r="D689" s="14"/>
      <c r="E689" s="63"/>
    </row>
    <row r="690" spans="2:5" ht="15.75" customHeight="1" x14ac:dyDescent="0.2">
      <c r="B690" s="63"/>
      <c r="D690" s="14"/>
      <c r="E690" s="63"/>
    </row>
    <row r="691" spans="2:5" ht="15.75" customHeight="1" x14ac:dyDescent="0.2">
      <c r="B691" s="63"/>
      <c r="D691" s="14"/>
      <c r="E691" s="63"/>
    </row>
    <row r="692" spans="2:5" ht="15.75" customHeight="1" x14ac:dyDescent="0.2">
      <c r="B692" s="63"/>
      <c r="D692" s="14"/>
      <c r="E692" s="63"/>
    </row>
    <row r="693" spans="2:5" ht="15.75" customHeight="1" x14ac:dyDescent="0.2">
      <c r="B693" s="63"/>
      <c r="D693" s="14"/>
      <c r="E693" s="63"/>
    </row>
    <row r="694" spans="2:5" ht="15.75" customHeight="1" x14ac:dyDescent="0.2">
      <c r="B694" s="63"/>
      <c r="D694" s="14"/>
      <c r="E694" s="63"/>
    </row>
    <row r="695" spans="2:5" ht="15.75" customHeight="1" x14ac:dyDescent="0.2">
      <c r="B695" s="63"/>
      <c r="D695" s="14"/>
      <c r="E695" s="63"/>
    </row>
    <row r="696" spans="2:5" ht="15.75" customHeight="1" x14ac:dyDescent="0.2">
      <c r="B696" s="63"/>
      <c r="D696" s="14"/>
      <c r="E696" s="63"/>
    </row>
    <row r="697" spans="2:5" ht="15.75" customHeight="1" x14ac:dyDescent="0.2">
      <c r="B697" s="63"/>
      <c r="D697" s="14"/>
      <c r="E697" s="63"/>
    </row>
    <row r="698" spans="2:5" ht="15.75" customHeight="1" x14ac:dyDescent="0.2">
      <c r="B698" s="63"/>
      <c r="D698" s="14"/>
      <c r="E698" s="63"/>
    </row>
    <row r="699" spans="2:5" ht="15.75" customHeight="1" x14ac:dyDescent="0.2">
      <c r="B699" s="63"/>
      <c r="D699" s="14"/>
      <c r="E699" s="63"/>
    </row>
    <row r="700" spans="2:5" ht="15.75" customHeight="1" x14ac:dyDescent="0.2">
      <c r="B700" s="63"/>
      <c r="D700" s="14"/>
      <c r="E700" s="63"/>
    </row>
    <row r="701" spans="2:5" ht="15.75" customHeight="1" x14ac:dyDescent="0.2">
      <c r="B701" s="63"/>
      <c r="D701" s="14"/>
      <c r="E701" s="63"/>
    </row>
    <row r="702" spans="2:5" ht="15.75" customHeight="1" x14ac:dyDescent="0.2">
      <c r="B702" s="63"/>
      <c r="D702" s="14"/>
      <c r="E702" s="63"/>
    </row>
    <row r="703" spans="2:5" ht="15.75" customHeight="1" x14ac:dyDescent="0.2">
      <c r="B703" s="63"/>
      <c r="D703" s="14"/>
      <c r="E703" s="63"/>
    </row>
    <row r="704" spans="2:5" ht="15.75" customHeight="1" x14ac:dyDescent="0.2">
      <c r="B704" s="63"/>
      <c r="D704" s="14"/>
      <c r="E704" s="63"/>
    </row>
    <row r="705" spans="2:5" ht="15.75" customHeight="1" x14ac:dyDescent="0.2">
      <c r="B705" s="63"/>
      <c r="D705" s="14"/>
      <c r="E705" s="63"/>
    </row>
    <row r="706" spans="2:5" ht="15.75" customHeight="1" x14ac:dyDescent="0.2">
      <c r="B706" s="63"/>
      <c r="D706" s="14"/>
      <c r="E706" s="63"/>
    </row>
    <row r="707" spans="2:5" ht="15.75" customHeight="1" x14ac:dyDescent="0.2">
      <c r="B707" s="63"/>
      <c r="D707" s="14"/>
      <c r="E707" s="63"/>
    </row>
    <row r="708" spans="2:5" ht="15.75" customHeight="1" x14ac:dyDescent="0.2">
      <c r="B708" s="63"/>
      <c r="D708" s="14"/>
      <c r="E708" s="63"/>
    </row>
    <row r="709" spans="2:5" ht="15.75" customHeight="1" x14ac:dyDescent="0.2">
      <c r="B709" s="63"/>
      <c r="D709" s="14"/>
      <c r="E709" s="63"/>
    </row>
    <row r="710" spans="2:5" ht="15.75" customHeight="1" x14ac:dyDescent="0.2">
      <c r="B710" s="63"/>
      <c r="D710" s="14"/>
      <c r="E710" s="63"/>
    </row>
    <row r="711" spans="2:5" ht="15.75" customHeight="1" x14ac:dyDescent="0.2">
      <c r="B711" s="63"/>
      <c r="D711" s="14"/>
      <c r="E711" s="63"/>
    </row>
    <row r="712" spans="2:5" ht="15.75" customHeight="1" x14ac:dyDescent="0.2">
      <c r="B712" s="63"/>
      <c r="D712" s="14"/>
      <c r="E712" s="63"/>
    </row>
    <row r="713" spans="2:5" ht="15.75" customHeight="1" x14ac:dyDescent="0.2">
      <c r="B713" s="63"/>
      <c r="D713" s="14"/>
      <c r="E713" s="63"/>
    </row>
    <row r="714" spans="2:5" ht="15.75" customHeight="1" x14ac:dyDescent="0.2">
      <c r="B714" s="63"/>
      <c r="D714" s="14"/>
      <c r="E714" s="63"/>
    </row>
    <row r="715" spans="2:5" ht="15.75" customHeight="1" x14ac:dyDescent="0.2">
      <c r="B715" s="63"/>
      <c r="D715" s="14"/>
      <c r="E715" s="63"/>
    </row>
    <row r="716" spans="2:5" ht="15.75" customHeight="1" x14ac:dyDescent="0.2">
      <c r="B716" s="63"/>
      <c r="D716" s="14"/>
      <c r="E716" s="63"/>
    </row>
    <row r="717" spans="2:5" ht="15.75" customHeight="1" x14ac:dyDescent="0.2">
      <c r="B717" s="63"/>
      <c r="D717" s="14"/>
      <c r="E717" s="63"/>
    </row>
    <row r="718" spans="2:5" ht="15.75" customHeight="1" x14ac:dyDescent="0.2">
      <c r="B718" s="63"/>
      <c r="D718" s="14"/>
      <c r="E718" s="63"/>
    </row>
    <row r="719" spans="2:5" ht="15.75" customHeight="1" x14ac:dyDescent="0.2">
      <c r="B719" s="63"/>
      <c r="D719" s="14"/>
      <c r="E719" s="63"/>
    </row>
    <row r="720" spans="2:5" ht="15.75" customHeight="1" x14ac:dyDescent="0.2">
      <c r="B720" s="63"/>
      <c r="D720" s="14"/>
      <c r="E720" s="63"/>
    </row>
    <row r="721" spans="2:5" ht="15.75" customHeight="1" x14ac:dyDescent="0.2">
      <c r="B721" s="63"/>
      <c r="D721" s="14"/>
      <c r="E721" s="63"/>
    </row>
    <row r="722" spans="2:5" ht="15.75" customHeight="1" x14ac:dyDescent="0.2">
      <c r="B722" s="63"/>
      <c r="D722" s="14"/>
      <c r="E722" s="63"/>
    </row>
    <row r="723" spans="2:5" ht="15.75" customHeight="1" x14ac:dyDescent="0.2">
      <c r="B723" s="63"/>
      <c r="D723" s="14"/>
      <c r="E723" s="63"/>
    </row>
    <row r="724" spans="2:5" ht="15.75" customHeight="1" x14ac:dyDescent="0.2">
      <c r="B724" s="63"/>
      <c r="D724" s="14"/>
      <c r="E724" s="63"/>
    </row>
    <row r="725" spans="2:5" ht="15.75" customHeight="1" x14ac:dyDescent="0.2">
      <c r="B725" s="63"/>
      <c r="D725" s="14"/>
      <c r="E725" s="63"/>
    </row>
    <row r="726" spans="2:5" ht="15.75" customHeight="1" x14ac:dyDescent="0.2">
      <c r="B726" s="63"/>
      <c r="D726" s="14"/>
      <c r="E726" s="63"/>
    </row>
    <row r="727" spans="2:5" ht="15.75" customHeight="1" x14ac:dyDescent="0.2">
      <c r="B727" s="63"/>
      <c r="D727" s="14"/>
      <c r="E727" s="63"/>
    </row>
    <row r="728" spans="2:5" ht="15.75" customHeight="1" x14ac:dyDescent="0.2">
      <c r="B728" s="63"/>
      <c r="D728" s="14"/>
      <c r="E728" s="63"/>
    </row>
    <row r="729" spans="2:5" ht="15.75" customHeight="1" x14ac:dyDescent="0.2">
      <c r="B729" s="63"/>
      <c r="D729" s="14"/>
      <c r="E729" s="63"/>
    </row>
    <row r="730" spans="2:5" ht="15.75" customHeight="1" x14ac:dyDescent="0.2">
      <c r="B730" s="63"/>
      <c r="D730" s="14"/>
      <c r="E730" s="63"/>
    </row>
    <row r="731" spans="2:5" ht="15.75" customHeight="1" x14ac:dyDescent="0.2">
      <c r="B731" s="63"/>
      <c r="D731" s="14"/>
      <c r="E731" s="63"/>
    </row>
    <row r="732" spans="2:5" ht="15.75" customHeight="1" x14ac:dyDescent="0.2">
      <c r="B732" s="63"/>
      <c r="D732" s="14"/>
      <c r="E732" s="63"/>
    </row>
    <row r="733" spans="2:5" ht="15.75" customHeight="1" x14ac:dyDescent="0.2">
      <c r="B733" s="63"/>
      <c r="D733" s="14"/>
      <c r="E733" s="63"/>
    </row>
    <row r="734" spans="2:5" ht="15.75" customHeight="1" x14ac:dyDescent="0.2">
      <c r="B734" s="63"/>
      <c r="D734" s="14"/>
      <c r="E734" s="63"/>
    </row>
    <row r="735" spans="2:5" ht="15.75" customHeight="1" x14ac:dyDescent="0.2">
      <c r="B735" s="63"/>
      <c r="D735" s="14"/>
      <c r="E735" s="63"/>
    </row>
    <row r="736" spans="2:5" ht="15.75" customHeight="1" x14ac:dyDescent="0.2">
      <c r="B736" s="63"/>
      <c r="D736" s="14"/>
      <c r="E736" s="63"/>
    </row>
    <row r="737" spans="2:5" ht="15.75" customHeight="1" x14ac:dyDescent="0.2">
      <c r="B737" s="63"/>
      <c r="D737" s="14"/>
      <c r="E737" s="63"/>
    </row>
    <row r="738" spans="2:5" ht="15.75" customHeight="1" x14ac:dyDescent="0.2">
      <c r="B738" s="63"/>
      <c r="D738" s="14"/>
      <c r="E738" s="63"/>
    </row>
    <row r="739" spans="2:5" ht="15.75" customHeight="1" x14ac:dyDescent="0.2">
      <c r="B739" s="63"/>
      <c r="D739" s="14"/>
      <c r="E739" s="63"/>
    </row>
    <row r="740" spans="2:5" ht="15.75" customHeight="1" x14ac:dyDescent="0.2">
      <c r="B740" s="63"/>
      <c r="D740" s="14"/>
      <c r="E740" s="63"/>
    </row>
    <row r="741" spans="2:5" ht="15.75" customHeight="1" x14ac:dyDescent="0.2">
      <c r="B741" s="63"/>
      <c r="D741" s="14"/>
      <c r="E741" s="63"/>
    </row>
    <row r="742" spans="2:5" ht="15.75" customHeight="1" x14ac:dyDescent="0.2">
      <c r="B742" s="63"/>
      <c r="D742" s="14"/>
      <c r="E742" s="63"/>
    </row>
    <row r="743" spans="2:5" ht="15.75" customHeight="1" x14ac:dyDescent="0.2">
      <c r="B743" s="63"/>
      <c r="D743" s="14"/>
      <c r="E743" s="63"/>
    </row>
    <row r="744" spans="2:5" ht="15.75" customHeight="1" x14ac:dyDescent="0.2">
      <c r="B744" s="63"/>
      <c r="D744" s="14"/>
      <c r="E744" s="63"/>
    </row>
    <row r="745" spans="2:5" ht="15.75" customHeight="1" x14ac:dyDescent="0.2">
      <c r="B745" s="63"/>
      <c r="D745" s="14"/>
      <c r="E745" s="63"/>
    </row>
    <row r="746" spans="2:5" ht="15.75" customHeight="1" x14ac:dyDescent="0.2">
      <c r="B746" s="63"/>
      <c r="D746" s="14"/>
      <c r="E746" s="63"/>
    </row>
    <row r="747" spans="2:5" ht="15.75" customHeight="1" x14ac:dyDescent="0.2">
      <c r="B747" s="63"/>
      <c r="D747" s="14"/>
      <c r="E747" s="63"/>
    </row>
    <row r="748" spans="2:5" ht="15.75" customHeight="1" x14ac:dyDescent="0.2">
      <c r="B748" s="63"/>
      <c r="D748" s="14"/>
      <c r="E748" s="63"/>
    </row>
    <row r="749" spans="2:5" ht="15.75" customHeight="1" x14ac:dyDescent="0.2">
      <c r="B749" s="63"/>
      <c r="D749" s="14"/>
      <c r="E749" s="63"/>
    </row>
    <row r="750" spans="2:5" ht="15.75" customHeight="1" x14ac:dyDescent="0.2">
      <c r="B750" s="63"/>
      <c r="D750" s="14"/>
      <c r="E750" s="63"/>
    </row>
    <row r="751" spans="2:5" ht="15.75" customHeight="1" x14ac:dyDescent="0.2">
      <c r="B751" s="63"/>
      <c r="D751" s="14"/>
      <c r="E751" s="63"/>
    </row>
    <row r="752" spans="2:5" ht="15.75" customHeight="1" x14ac:dyDescent="0.2">
      <c r="B752" s="63"/>
      <c r="D752" s="14"/>
      <c r="E752" s="63"/>
    </row>
    <row r="753" spans="2:5" ht="15.75" customHeight="1" x14ac:dyDescent="0.2">
      <c r="B753" s="63"/>
      <c r="D753" s="14"/>
      <c r="E753" s="63"/>
    </row>
    <row r="754" spans="2:5" ht="15.75" customHeight="1" x14ac:dyDescent="0.2">
      <c r="B754" s="63"/>
      <c r="D754" s="14"/>
      <c r="E754" s="63"/>
    </row>
    <row r="755" spans="2:5" ht="15.75" customHeight="1" x14ac:dyDescent="0.2">
      <c r="B755" s="63"/>
      <c r="D755" s="14"/>
      <c r="E755" s="63"/>
    </row>
    <row r="756" spans="2:5" ht="15.75" customHeight="1" x14ac:dyDescent="0.2">
      <c r="B756" s="63"/>
      <c r="D756" s="14"/>
      <c r="E756" s="63"/>
    </row>
    <row r="757" spans="2:5" ht="15.75" customHeight="1" x14ac:dyDescent="0.2">
      <c r="B757" s="63"/>
      <c r="D757" s="14"/>
      <c r="E757" s="63"/>
    </row>
    <row r="758" spans="2:5" ht="15.75" customHeight="1" x14ac:dyDescent="0.2">
      <c r="B758" s="63"/>
      <c r="D758" s="14"/>
      <c r="E758" s="63"/>
    </row>
    <row r="759" spans="2:5" ht="15.75" customHeight="1" x14ac:dyDescent="0.2">
      <c r="B759" s="63"/>
      <c r="D759" s="14"/>
      <c r="E759" s="63"/>
    </row>
    <row r="760" spans="2:5" ht="15.75" customHeight="1" x14ac:dyDescent="0.2">
      <c r="B760" s="63"/>
      <c r="D760" s="14"/>
      <c r="E760" s="63"/>
    </row>
    <row r="761" spans="2:5" ht="15.75" customHeight="1" x14ac:dyDescent="0.2">
      <c r="B761" s="63"/>
      <c r="D761" s="14"/>
      <c r="E761" s="63"/>
    </row>
    <row r="762" spans="2:5" ht="15.75" customHeight="1" x14ac:dyDescent="0.2">
      <c r="B762" s="63"/>
      <c r="D762" s="14"/>
      <c r="E762" s="63"/>
    </row>
    <row r="763" spans="2:5" ht="15.75" customHeight="1" x14ac:dyDescent="0.2">
      <c r="B763" s="63"/>
      <c r="D763" s="14"/>
      <c r="E763" s="63"/>
    </row>
    <row r="764" spans="2:5" ht="15.75" customHeight="1" x14ac:dyDescent="0.2">
      <c r="B764" s="63"/>
      <c r="D764" s="14"/>
      <c r="E764" s="63"/>
    </row>
    <row r="765" spans="2:5" ht="15.75" customHeight="1" x14ac:dyDescent="0.2">
      <c r="B765" s="63"/>
      <c r="D765" s="14"/>
      <c r="E765" s="63"/>
    </row>
    <row r="766" spans="2:5" ht="15.75" customHeight="1" x14ac:dyDescent="0.2">
      <c r="B766" s="63"/>
      <c r="D766" s="14"/>
      <c r="E766" s="63"/>
    </row>
    <row r="767" spans="2:5" ht="15.75" customHeight="1" x14ac:dyDescent="0.2">
      <c r="B767" s="63"/>
      <c r="D767" s="14"/>
      <c r="E767" s="63"/>
    </row>
    <row r="768" spans="2:5" ht="15.75" customHeight="1" x14ac:dyDescent="0.2">
      <c r="B768" s="63"/>
      <c r="D768" s="14"/>
      <c r="E768" s="63"/>
    </row>
    <row r="769" spans="2:5" ht="15.75" customHeight="1" x14ac:dyDescent="0.2">
      <c r="B769" s="63"/>
      <c r="D769" s="14"/>
      <c r="E769" s="63"/>
    </row>
    <row r="770" spans="2:5" ht="15.75" customHeight="1" x14ac:dyDescent="0.2">
      <c r="B770" s="63"/>
      <c r="D770" s="14"/>
      <c r="E770" s="63"/>
    </row>
    <row r="771" spans="2:5" ht="15.75" customHeight="1" x14ac:dyDescent="0.2">
      <c r="B771" s="63"/>
      <c r="D771" s="14"/>
      <c r="E771" s="63"/>
    </row>
    <row r="772" spans="2:5" ht="15.75" customHeight="1" x14ac:dyDescent="0.2">
      <c r="B772" s="63"/>
      <c r="D772" s="14"/>
      <c r="E772" s="63"/>
    </row>
    <row r="773" spans="2:5" ht="15.75" customHeight="1" x14ac:dyDescent="0.2">
      <c r="B773" s="63"/>
      <c r="D773" s="14"/>
      <c r="E773" s="63"/>
    </row>
    <row r="774" spans="2:5" ht="15.75" customHeight="1" x14ac:dyDescent="0.2">
      <c r="B774" s="63"/>
      <c r="D774" s="14"/>
      <c r="E774" s="63"/>
    </row>
    <row r="775" spans="2:5" ht="15.75" customHeight="1" x14ac:dyDescent="0.2">
      <c r="B775" s="63"/>
      <c r="D775" s="14"/>
      <c r="E775" s="63"/>
    </row>
    <row r="776" spans="2:5" ht="15.75" customHeight="1" x14ac:dyDescent="0.2">
      <c r="B776" s="63"/>
      <c r="D776" s="14"/>
      <c r="E776" s="63"/>
    </row>
    <row r="777" spans="2:5" ht="15.75" customHeight="1" x14ac:dyDescent="0.2">
      <c r="B777" s="63"/>
      <c r="D777" s="14"/>
      <c r="E777" s="63"/>
    </row>
    <row r="778" spans="2:5" ht="15.75" customHeight="1" x14ac:dyDescent="0.2">
      <c r="B778" s="63"/>
      <c r="D778" s="14"/>
      <c r="E778" s="63"/>
    </row>
    <row r="779" spans="2:5" ht="15.75" customHeight="1" x14ac:dyDescent="0.2">
      <c r="B779" s="63"/>
      <c r="D779" s="14"/>
      <c r="E779" s="63"/>
    </row>
    <row r="780" spans="2:5" ht="15.75" customHeight="1" x14ac:dyDescent="0.2">
      <c r="B780" s="63"/>
      <c r="D780" s="14"/>
      <c r="E780" s="63"/>
    </row>
    <row r="781" spans="2:5" ht="15.75" customHeight="1" x14ac:dyDescent="0.2">
      <c r="B781" s="63"/>
      <c r="D781" s="14"/>
      <c r="E781" s="63"/>
    </row>
    <row r="782" spans="2:5" ht="15.75" customHeight="1" x14ac:dyDescent="0.2">
      <c r="B782" s="63"/>
      <c r="D782" s="14"/>
      <c r="E782" s="63"/>
    </row>
    <row r="783" spans="2:5" ht="15.75" customHeight="1" x14ac:dyDescent="0.2">
      <c r="B783" s="63"/>
      <c r="D783" s="14"/>
      <c r="E783" s="63"/>
    </row>
    <row r="784" spans="2:5" ht="15.75" customHeight="1" x14ac:dyDescent="0.2">
      <c r="B784" s="63"/>
      <c r="D784" s="14"/>
      <c r="E784" s="63"/>
    </row>
    <row r="785" spans="2:5" ht="15.75" customHeight="1" x14ac:dyDescent="0.2">
      <c r="B785" s="63"/>
      <c r="D785" s="14"/>
      <c r="E785" s="63"/>
    </row>
    <row r="786" spans="2:5" ht="15.75" customHeight="1" x14ac:dyDescent="0.2">
      <c r="B786" s="63"/>
      <c r="D786" s="14"/>
      <c r="E786" s="63"/>
    </row>
    <row r="787" spans="2:5" ht="15.75" customHeight="1" x14ac:dyDescent="0.2">
      <c r="B787" s="63"/>
      <c r="D787" s="14"/>
      <c r="E787" s="63"/>
    </row>
    <row r="788" spans="2:5" ht="15.75" customHeight="1" x14ac:dyDescent="0.2">
      <c r="B788" s="63"/>
      <c r="D788" s="14"/>
      <c r="E788" s="63"/>
    </row>
    <row r="789" spans="2:5" ht="15.75" customHeight="1" x14ac:dyDescent="0.2">
      <c r="B789" s="63"/>
      <c r="D789" s="14"/>
      <c r="E789" s="63"/>
    </row>
    <row r="790" spans="2:5" ht="15.75" customHeight="1" x14ac:dyDescent="0.2">
      <c r="B790" s="63"/>
      <c r="D790" s="14"/>
      <c r="E790" s="63"/>
    </row>
    <row r="791" spans="2:5" ht="15.75" customHeight="1" x14ac:dyDescent="0.2">
      <c r="B791" s="63"/>
      <c r="D791" s="14"/>
      <c r="E791" s="63"/>
    </row>
    <row r="792" spans="2:5" ht="15.75" customHeight="1" x14ac:dyDescent="0.2">
      <c r="B792" s="63"/>
      <c r="D792" s="14"/>
      <c r="E792" s="63"/>
    </row>
    <row r="793" spans="2:5" ht="15.75" customHeight="1" x14ac:dyDescent="0.2">
      <c r="B793" s="63"/>
      <c r="D793" s="14"/>
      <c r="E793" s="63"/>
    </row>
    <row r="794" spans="2:5" ht="15.75" customHeight="1" x14ac:dyDescent="0.2">
      <c r="B794" s="63"/>
      <c r="D794" s="14"/>
      <c r="E794" s="63"/>
    </row>
    <row r="795" spans="2:5" ht="15.75" customHeight="1" x14ac:dyDescent="0.2">
      <c r="B795" s="63"/>
      <c r="D795" s="14"/>
      <c r="E795" s="63"/>
    </row>
    <row r="796" spans="2:5" ht="15.75" customHeight="1" x14ac:dyDescent="0.2">
      <c r="B796" s="63"/>
      <c r="D796" s="14"/>
      <c r="E796" s="63"/>
    </row>
    <row r="797" spans="2:5" ht="15.75" customHeight="1" x14ac:dyDescent="0.2">
      <c r="B797" s="63"/>
      <c r="D797" s="14"/>
      <c r="E797" s="63"/>
    </row>
    <row r="798" spans="2:5" ht="15.75" customHeight="1" x14ac:dyDescent="0.2">
      <c r="B798" s="63"/>
      <c r="D798" s="14"/>
      <c r="E798" s="63"/>
    </row>
    <row r="799" spans="2:5" ht="15.75" customHeight="1" x14ac:dyDescent="0.2">
      <c r="B799" s="63"/>
      <c r="D799" s="14"/>
      <c r="E799" s="63"/>
    </row>
    <row r="800" spans="2:5" ht="15.75" customHeight="1" x14ac:dyDescent="0.2">
      <c r="B800" s="63"/>
      <c r="D800" s="14"/>
      <c r="E800" s="63"/>
    </row>
    <row r="801" spans="2:5" ht="15.75" customHeight="1" x14ac:dyDescent="0.2">
      <c r="B801" s="63"/>
      <c r="D801" s="14"/>
      <c r="E801" s="63"/>
    </row>
    <row r="802" spans="2:5" ht="15.75" customHeight="1" x14ac:dyDescent="0.2">
      <c r="B802" s="63"/>
      <c r="D802" s="14"/>
      <c r="E802" s="63"/>
    </row>
    <row r="803" spans="2:5" ht="15.75" customHeight="1" x14ac:dyDescent="0.2">
      <c r="B803" s="63"/>
      <c r="D803" s="14"/>
      <c r="E803" s="63"/>
    </row>
    <row r="804" spans="2:5" ht="15.75" customHeight="1" x14ac:dyDescent="0.2">
      <c r="B804" s="63"/>
      <c r="D804" s="14"/>
      <c r="E804" s="63"/>
    </row>
    <row r="805" spans="2:5" ht="15.75" customHeight="1" x14ac:dyDescent="0.2">
      <c r="B805" s="63"/>
      <c r="D805" s="14"/>
      <c r="E805" s="63"/>
    </row>
    <row r="806" spans="2:5" ht="15.75" customHeight="1" x14ac:dyDescent="0.2">
      <c r="B806" s="63"/>
      <c r="D806" s="14"/>
      <c r="E806" s="63"/>
    </row>
    <row r="807" spans="2:5" ht="15.75" customHeight="1" x14ac:dyDescent="0.2">
      <c r="B807" s="63"/>
      <c r="D807" s="14"/>
      <c r="E807" s="63"/>
    </row>
    <row r="808" spans="2:5" ht="15.75" customHeight="1" x14ac:dyDescent="0.2">
      <c r="B808" s="63"/>
      <c r="D808" s="14"/>
      <c r="E808" s="63"/>
    </row>
    <row r="809" spans="2:5" ht="15.75" customHeight="1" x14ac:dyDescent="0.2">
      <c r="B809" s="63"/>
      <c r="D809" s="14"/>
      <c r="E809" s="63"/>
    </row>
    <row r="810" spans="2:5" ht="15.75" customHeight="1" x14ac:dyDescent="0.2">
      <c r="B810" s="63"/>
      <c r="D810" s="14"/>
      <c r="E810" s="63"/>
    </row>
    <row r="811" spans="2:5" ht="15.75" customHeight="1" x14ac:dyDescent="0.2">
      <c r="B811" s="63"/>
      <c r="D811" s="14"/>
      <c r="E811" s="63"/>
    </row>
    <row r="812" spans="2:5" ht="15.75" customHeight="1" x14ac:dyDescent="0.2">
      <c r="B812" s="63"/>
      <c r="D812" s="14"/>
      <c r="E812" s="63"/>
    </row>
    <row r="813" spans="2:5" ht="15.75" customHeight="1" x14ac:dyDescent="0.2">
      <c r="B813" s="63"/>
      <c r="D813" s="14"/>
      <c r="E813" s="63"/>
    </row>
    <row r="814" spans="2:5" ht="15.75" customHeight="1" x14ac:dyDescent="0.2">
      <c r="B814" s="63"/>
      <c r="D814" s="14"/>
      <c r="E814" s="63"/>
    </row>
    <row r="815" spans="2:5" ht="15.75" customHeight="1" x14ac:dyDescent="0.2">
      <c r="B815" s="63"/>
      <c r="D815" s="14"/>
      <c r="E815" s="63"/>
    </row>
    <row r="816" spans="2:5" ht="15.75" customHeight="1" x14ac:dyDescent="0.2">
      <c r="B816" s="63"/>
      <c r="D816" s="14"/>
      <c r="E816" s="63"/>
    </row>
    <row r="817" spans="2:5" ht="15.75" customHeight="1" x14ac:dyDescent="0.2">
      <c r="B817" s="63"/>
      <c r="D817" s="14"/>
      <c r="E817" s="63"/>
    </row>
    <row r="818" spans="2:5" ht="15.75" customHeight="1" x14ac:dyDescent="0.2">
      <c r="B818" s="63"/>
      <c r="D818" s="14"/>
      <c r="E818" s="63"/>
    </row>
    <row r="819" spans="2:5" ht="15.75" customHeight="1" x14ac:dyDescent="0.2">
      <c r="B819" s="63"/>
      <c r="D819" s="14"/>
      <c r="E819" s="63"/>
    </row>
    <row r="820" spans="2:5" ht="15.75" customHeight="1" x14ac:dyDescent="0.2">
      <c r="B820" s="63"/>
      <c r="D820" s="14"/>
      <c r="E820" s="63"/>
    </row>
    <row r="821" spans="2:5" ht="15.75" customHeight="1" x14ac:dyDescent="0.2">
      <c r="B821" s="63"/>
      <c r="D821" s="14"/>
      <c r="E821" s="63"/>
    </row>
    <row r="822" spans="2:5" ht="15.75" customHeight="1" x14ac:dyDescent="0.2">
      <c r="B822" s="63"/>
      <c r="D822" s="14"/>
      <c r="E822" s="63"/>
    </row>
    <row r="823" spans="2:5" ht="15.75" customHeight="1" x14ac:dyDescent="0.2">
      <c r="B823" s="63"/>
      <c r="D823" s="14"/>
      <c r="E823" s="63"/>
    </row>
    <row r="824" spans="2:5" ht="15.75" customHeight="1" x14ac:dyDescent="0.2">
      <c r="B824" s="63"/>
      <c r="D824" s="14"/>
      <c r="E824" s="63"/>
    </row>
    <row r="825" spans="2:5" ht="15.75" customHeight="1" x14ac:dyDescent="0.2">
      <c r="B825" s="63"/>
      <c r="D825" s="14"/>
      <c r="E825" s="63"/>
    </row>
    <row r="826" spans="2:5" ht="15.75" customHeight="1" x14ac:dyDescent="0.2">
      <c r="B826" s="63"/>
      <c r="D826" s="14"/>
      <c r="E826" s="63"/>
    </row>
    <row r="827" spans="2:5" ht="15.75" customHeight="1" x14ac:dyDescent="0.2">
      <c r="B827" s="63"/>
      <c r="D827" s="14"/>
      <c r="E827" s="63"/>
    </row>
    <row r="828" spans="2:5" ht="15.75" customHeight="1" x14ac:dyDescent="0.2">
      <c r="B828" s="63"/>
      <c r="D828" s="14"/>
      <c r="E828" s="63"/>
    </row>
    <row r="829" spans="2:5" ht="15.75" customHeight="1" x14ac:dyDescent="0.2">
      <c r="B829" s="63"/>
      <c r="D829" s="14"/>
      <c r="E829" s="63"/>
    </row>
    <row r="830" spans="2:5" ht="15.75" customHeight="1" x14ac:dyDescent="0.2">
      <c r="B830" s="63"/>
      <c r="D830" s="14"/>
      <c r="E830" s="63"/>
    </row>
    <row r="831" spans="2:5" ht="15.75" customHeight="1" x14ac:dyDescent="0.2">
      <c r="B831" s="63"/>
      <c r="D831" s="14"/>
      <c r="E831" s="63"/>
    </row>
    <row r="832" spans="2:5" ht="15.75" customHeight="1" x14ac:dyDescent="0.2">
      <c r="B832" s="63"/>
      <c r="D832" s="14"/>
      <c r="E832" s="63"/>
    </row>
    <row r="833" spans="2:5" ht="15.75" customHeight="1" x14ac:dyDescent="0.2">
      <c r="B833" s="63"/>
      <c r="D833" s="14"/>
      <c r="E833" s="63"/>
    </row>
    <row r="834" spans="2:5" ht="15.75" customHeight="1" x14ac:dyDescent="0.2">
      <c r="B834" s="63"/>
      <c r="D834" s="14"/>
      <c r="E834" s="63"/>
    </row>
    <row r="835" spans="2:5" ht="15.75" customHeight="1" x14ac:dyDescent="0.2">
      <c r="B835" s="63"/>
      <c r="D835" s="14"/>
      <c r="E835" s="63"/>
    </row>
    <row r="836" spans="2:5" ht="15.75" customHeight="1" x14ac:dyDescent="0.2">
      <c r="B836" s="63"/>
      <c r="D836" s="14"/>
      <c r="E836" s="63"/>
    </row>
    <row r="837" spans="2:5" ht="15.75" customHeight="1" x14ac:dyDescent="0.2">
      <c r="B837" s="63"/>
      <c r="D837" s="14"/>
      <c r="E837" s="63"/>
    </row>
    <row r="838" spans="2:5" ht="15.75" customHeight="1" x14ac:dyDescent="0.2">
      <c r="B838" s="63"/>
      <c r="D838" s="14"/>
      <c r="E838" s="63"/>
    </row>
    <row r="839" spans="2:5" ht="15.75" customHeight="1" x14ac:dyDescent="0.2">
      <c r="B839" s="63"/>
      <c r="D839" s="14"/>
      <c r="E839" s="63"/>
    </row>
    <row r="840" spans="2:5" ht="15.75" customHeight="1" x14ac:dyDescent="0.2">
      <c r="B840" s="63"/>
      <c r="D840" s="14"/>
      <c r="E840" s="63"/>
    </row>
    <row r="841" spans="2:5" ht="15.75" customHeight="1" x14ac:dyDescent="0.2">
      <c r="B841" s="63"/>
      <c r="D841" s="14"/>
      <c r="E841" s="63"/>
    </row>
    <row r="842" spans="2:5" ht="15.75" customHeight="1" x14ac:dyDescent="0.2">
      <c r="B842" s="63"/>
      <c r="D842" s="14"/>
      <c r="E842" s="63"/>
    </row>
    <row r="843" spans="2:5" ht="15.75" customHeight="1" x14ac:dyDescent="0.2">
      <c r="B843" s="63"/>
      <c r="D843" s="14"/>
      <c r="E843" s="63"/>
    </row>
    <row r="844" spans="2:5" ht="15.75" customHeight="1" x14ac:dyDescent="0.2">
      <c r="B844" s="63"/>
      <c r="D844" s="14"/>
      <c r="E844" s="63"/>
    </row>
    <row r="845" spans="2:5" ht="15.75" customHeight="1" x14ac:dyDescent="0.2">
      <c r="B845" s="63"/>
      <c r="D845" s="14"/>
      <c r="E845" s="63"/>
    </row>
    <row r="846" spans="2:5" ht="15.75" customHeight="1" x14ac:dyDescent="0.2">
      <c r="B846" s="63"/>
      <c r="D846" s="14"/>
      <c r="E846" s="63"/>
    </row>
    <row r="847" spans="2:5" ht="15.75" customHeight="1" x14ac:dyDescent="0.2">
      <c r="B847" s="63"/>
      <c r="D847" s="14"/>
      <c r="E847" s="63"/>
    </row>
    <row r="848" spans="2:5" ht="15.75" customHeight="1" x14ac:dyDescent="0.2">
      <c r="B848" s="63"/>
      <c r="D848" s="14"/>
      <c r="E848" s="63"/>
    </row>
    <row r="849" spans="2:5" ht="15.75" customHeight="1" x14ac:dyDescent="0.2">
      <c r="B849" s="63"/>
      <c r="D849" s="14"/>
      <c r="E849" s="63"/>
    </row>
    <row r="850" spans="2:5" ht="15.75" customHeight="1" x14ac:dyDescent="0.2">
      <c r="B850" s="63"/>
      <c r="D850" s="14"/>
      <c r="E850" s="63"/>
    </row>
    <row r="851" spans="2:5" ht="15.75" customHeight="1" x14ac:dyDescent="0.2">
      <c r="B851" s="63"/>
      <c r="D851" s="14"/>
      <c r="E851" s="63"/>
    </row>
    <row r="852" spans="2:5" ht="15.75" customHeight="1" x14ac:dyDescent="0.2">
      <c r="B852" s="63"/>
      <c r="D852" s="14"/>
      <c r="E852" s="63"/>
    </row>
    <row r="853" spans="2:5" ht="15.75" customHeight="1" x14ac:dyDescent="0.2">
      <c r="B853" s="63"/>
      <c r="D853" s="14"/>
      <c r="E853" s="63"/>
    </row>
    <row r="854" spans="2:5" ht="15.75" customHeight="1" x14ac:dyDescent="0.2">
      <c r="B854" s="63"/>
      <c r="D854" s="14"/>
      <c r="E854" s="63"/>
    </row>
    <row r="855" spans="2:5" ht="15.75" customHeight="1" x14ac:dyDescent="0.2">
      <c r="B855" s="63"/>
      <c r="D855" s="14"/>
      <c r="E855" s="63"/>
    </row>
    <row r="856" spans="2:5" ht="15.75" customHeight="1" x14ac:dyDescent="0.2">
      <c r="B856" s="63"/>
      <c r="D856" s="14"/>
      <c r="E856" s="63"/>
    </row>
    <row r="857" spans="2:5" ht="15.75" customHeight="1" x14ac:dyDescent="0.2">
      <c r="B857" s="63"/>
      <c r="D857" s="14"/>
      <c r="E857" s="63"/>
    </row>
    <row r="858" spans="2:5" ht="15.75" customHeight="1" x14ac:dyDescent="0.2">
      <c r="B858" s="63"/>
      <c r="D858" s="14"/>
      <c r="E858" s="63"/>
    </row>
    <row r="859" spans="2:5" ht="15.75" customHeight="1" x14ac:dyDescent="0.2">
      <c r="B859" s="63"/>
      <c r="D859" s="14"/>
      <c r="E859" s="63"/>
    </row>
    <row r="860" spans="2:5" ht="15.75" customHeight="1" x14ac:dyDescent="0.2">
      <c r="B860" s="63"/>
      <c r="D860" s="14"/>
      <c r="E860" s="63"/>
    </row>
    <row r="861" spans="2:5" ht="15.75" customHeight="1" x14ac:dyDescent="0.2">
      <c r="B861" s="63"/>
      <c r="D861" s="14"/>
      <c r="E861" s="63"/>
    </row>
    <row r="862" spans="2:5" ht="15.75" customHeight="1" x14ac:dyDescent="0.2">
      <c r="B862" s="63"/>
      <c r="D862" s="14"/>
      <c r="E862" s="63"/>
    </row>
    <row r="863" spans="2:5" ht="15.75" customHeight="1" x14ac:dyDescent="0.2">
      <c r="B863" s="63"/>
      <c r="D863" s="14"/>
      <c r="E863" s="63"/>
    </row>
    <row r="864" spans="2:5" ht="15.75" customHeight="1" x14ac:dyDescent="0.2">
      <c r="B864" s="63"/>
      <c r="D864" s="14"/>
      <c r="E864" s="63"/>
    </row>
    <row r="865" spans="2:5" ht="15.75" customHeight="1" x14ac:dyDescent="0.2">
      <c r="B865" s="63"/>
      <c r="D865" s="14"/>
      <c r="E865" s="63"/>
    </row>
    <row r="866" spans="2:5" ht="15.75" customHeight="1" x14ac:dyDescent="0.2">
      <c r="B866" s="63"/>
      <c r="D866" s="14"/>
      <c r="E866" s="63"/>
    </row>
    <row r="867" spans="2:5" ht="15.75" customHeight="1" x14ac:dyDescent="0.2">
      <c r="B867" s="63"/>
      <c r="D867" s="14"/>
      <c r="E867" s="63"/>
    </row>
    <row r="868" spans="2:5" ht="15.75" customHeight="1" x14ac:dyDescent="0.2">
      <c r="B868" s="63"/>
      <c r="D868" s="14"/>
      <c r="E868" s="63"/>
    </row>
    <row r="869" spans="2:5" ht="15.75" customHeight="1" x14ac:dyDescent="0.2">
      <c r="B869" s="63"/>
      <c r="D869" s="14"/>
      <c r="E869" s="63"/>
    </row>
    <row r="870" spans="2:5" ht="15.75" customHeight="1" x14ac:dyDescent="0.2">
      <c r="B870" s="63"/>
      <c r="D870" s="14"/>
      <c r="E870" s="63"/>
    </row>
    <row r="871" spans="2:5" ht="15.75" customHeight="1" x14ac:dyDescent="0.2">
      <c r="B871" s="63"/>
      <c r="D871" s="14"/>
      <c r="E871" s="63"/>
    </row>
    <row r="872" spans="2:5" ht="15.75" customHeight="1" x14ac:dyDescent="0.2">
      <c r="B872" s="63"/>
      <c r="D872" s="14"/>
      <c r="E872" s="63"/>
    </row>
    <row r="873" spans="2:5" ht="15.75" customHeight="1" x14ac:dyDescent="0.2">
      <c r="B873" s="63"/>
      <c r="D873" s="14"/>
      <c r="E873" s="63"/>
    </row>
    <row r="874" spans="2:5" ht="15.75" customHeight="1" x14ac:dyDescent="0.2">
      <c r="B874" s="63"/>
      <c r="D874" s="14"/>
      <c r="E874" s="63"/>
    </row>
    <row r="875" spans="2:5" ht="15.75" customHeight="1" x14ac:dyDescent="0.2">
      <c r="B875" s="63"/>
      <c r="D875" s="14"/>
      <c r="E875" s="63"/>
    </row>
    <row r="876" spans="2:5" ht="15.75" customHeight="1" x14ac:dyDescent="0.2">
      <c r="B876" s="63"/>
      <c r="D876" s="14"/>
      <c r="E876" s="63"/>
    </row>
    <row r="877" spans="2:5" ht="15.75" customHeight="1" x14ac:dyDescent="0.2">
      <c r="B877" s="63"/>
      <c r="D877" s="14"/>
      <c r="E877" s="63"/>
    </row>
    <row r="878" spans="2:5" ht="15.75" customHeight="1" x14ac:dyDescent="0.2">
      <c r="B878" s="63"/>
      <c r="D878" s="14"/>
      <c r="E878" s="63"/>
    </row>
    <row r="879" spans="2:5" ht="15.75" customHeight="1" x14ac:dyDescent="0.2">
      <c r="B879" s="63"/>
      <c r="D879" s="14"/>
      <c r="E879" s="63"/>
    </row>
    <row r="880" spans="2:5" ht="15.75" customHeight="1" x14ac:dyDescent="0.2">
      <c r="B880" s="63"/>
      <c r="D880" s="14"/>
      <c r="E880" s="63"/>
    </row>
    <row r="881" spans="2:5" ht="15.75" customHeight="1" x14ac:dyDescent="0.2">
      <c r="B881" s="63"/>
      <c r="D881" s="14"/>
      <c r="E881" s="63"/>
    </row>
    <row r="882" spans="2:5" ht="15.75" customHeight="1" x14ac:dyDescent="0.2">
      <c r="B882" s="63"/>
      <c r="D882" s="14"/>
      <c r="E882" s="63"/>
    </row>
    <row r="883" spans="2:5" ht="15.75" customHeight="1" x14ac:dyDescent="0.2">
      <c r="B883" s="63"/>
      <c r="D883" s="14"/>
      <c r="E883" s="63"/>
    </row>
    <row r="884" spans="2:5" ht="15.75" customHeight="1" x14ac:dyDescent="0.2">
      <c r="B884" s="63"/>
      <c r="D884" s="14"/>
      <c r="E884" s="63"/>
    </row>
    <row r="885" spans="2:5" ht="15.75" customHeight="1" x14ac:dyDescent="0.2">
      <c r="B885" s="63"/>
      <c r="D885" s="14"/>
      <c r="E885" s="63"/>
    </row>
    <row r="886" spans="2:5" ht="15.75" customHeight="1" x14ac:dyDescent="0.2">
      <c r="B886" s="63"/>
      <c r="D886" s="14"/>
      <c r="E886" s="63"/>
    </row>
    <row r="887" spans="2:5" ht="15.75" customHeight="1" x14ac:dyDescent="0.2">
      <c r="B887" s="63"/>
      <c r="D887" s="14"/>
      <c r="E887" s="63"/>
    </row>
    <row r="888" spans="2:5" ht="15.75" customHeight="1" x14ac:dyDescent="0.2">
      <c r="B888" s="63"/>
      <c r="D888" s="14"/>
      <c r="E888" s="63"/>
    </row>
    <row r="889" spans="2:5" ht="15.75" customHeight="1" x14ac:dyDescent="0.2">
      <c r="B889" s="63"/>
      <c r="D889" s="14"/>
      <c r="E889" s="63"/>
    </row>
    <row r="890" spans="2:5" ht="15.75" customHeight="1" x14ac:dyDescent="0.2">
      <c r="B890" s="63"/>
      <c r="D890" s="14"/>
      <c r="E890" s="63"/>
    </row>
    <row r="891" spans="2:5" ht="15.75" customHeight="1" x14ac:dyDescent="0.2">
      <c r="B891" s="63"/>
      <c r="D891" s="14"/>
      <c r="E891" s="63"/>
    </row>
    <row r="892" spans="2:5" ht="15.75" customHeight="1" x14ac:dyDescent="0.2">
      <c r="B892" s="63"/>
      <c r="D892" s="14"/>
      <c r="E892" s="63"/>
    </row>
    <row r="893" spans="2:5" ht="15.75" customHeight="1" x14ac:dyDescent="0.2">
      <c r="B893" s="63"/>
      <c r="D893" s="14"/>
      <c r="E893" s="63"/>
    </row>
    <row r="894" spans="2:5" ht="15.75" customHeight="1" x14ac:dyDescent="0.2">
      <c r="B894" s="63"/>
      <c r="D894" s="14"/>
      <c r="E894" s="63"/>
    </row>
    <row r="895" spans="2:5" ht="15.75" customHeight="1" x14ac:dyDescent="0.2">
      <c r="B895" s="63"/>
      <c r="D895" s="14"/>
      <c r="E895" s="63"/>
    </row>
    <row r="896" spans="2:5" ht="15.75" customHeight="1" x14ac:dyDescent="0.2">
      <c r="B896" s="63"/>
      <c r="D896" s="14"/>
      <c r="E896" s="63"/>
    </row>
    <row r="897" spans="2:5" ht="15.75" customHeight="1" x14ac:dyDescent="0.2">
      <c r="B897" s="63"/>
      <c r="D897" s="14"/>
      <c r="E897" s="63"/>
    </row>
    <row r="898" spans="2:5" ht="15.75" customHeight="1" x14ac:dyDescent="0.2">
      <c r="B898" s="63"/>
      <c r="D898" s="14"/>
      <c r="E898" s="63"/>
    </row>
    <row r="899" spans="2:5" ht="15.75" customHeight="1" x14ac:dyDescent="0.2">
      <c r="B899" s="63"/>
      <c r="D899" s="14"/>
      <c r="E899" s="63"/>
    </row>
    <row r="900" spans="2:5" ht="15.75" customHeight="1" x14ac:dyDescent="0.2">
      <c r="B900" s="63"/>
      <c r="D900" s="14"/>
      <c r="E900" s="63"/>
    </row>
    <row r="901" spans="2:5" ht="15.75" customHeight="1" x14ac:dyDescent="0.2">
      <c r="B901" s="63"/>
      <c r="D901" s="14"/>
      <c r="E901" s="63"/>
    </row>
    <row r="902" spans="2:5" ht="15.75" customHeight="1" x14ac:dyDescent="0.2">
      <c r="B902" s="63"/>
      <c r="D902" s="14"/>
      <c r="E902" s="63"/>
    </row>
    <row r="903" spans="2:5" ht="15.75" customHeight="1" x14ac:dyDescent="0.2">
      <c r="B903" s="63"/>
      <c r="D903" s="14"/>
      <c r="E903" s="63"/>
    </row>
    <row r="904" spans="2:5" ht="15.75" customHeight="1" x14ac:dyDescent="0.2">
      <c r="B904" s="63"/>
      <c r="D904" s="14"/>
      <c r="E904" s="63"/>
    </row>
    <row r="905" spans="2:5" ht="15.75" customHeight="1" x14ac:dyDescent="0.2">
      <c r="B905" s="63"/>
      <c r="D905" s="14"/>
      <c r="E905" s="63"/>
    </row>
    <row r="906" spans="2:5" ht="15.75" customHeight="1" x14ac:dyDescent="0.2">
      <c r="B906" s="63"/>
      <c r="D906" s="14"/>
      <c r="E906" s="63"/>
    </row>
    <row r="907" spans="2:5" ht="15.75" customHeight="1" x14ac:dyDescent="0.2">
      <c r="B907" s="63"/>
      <c r="D907" s="14"/>
      <c r="E907" s="63"/>
    </row>
    <row r="908" spans="2:5" ht="15.75" customHeight="1" x14ac:dyDescent="0.2">
      <c r="B908" s="63"/>
      <c r="D908" s="14"/>
      <c r="E908" s="63"/>
    </row>
    <row r="909" spans="2:5" ht="15.75" customHeight="1" x14ac:dyDescent="0.2">
      <c r="B909" s="63"/>
      <c r="D909" s="14"/>
      <c r="E909" s="63"/>
    </row>
    <row r="910" spans="2:5" ht="15.75" customHeight="1" x14ac:dyDescent="0.2">
      <c r="B910" s="63"/>
      <c r="D910" s="14"/>
      <c r="E910" s="63"/>
    </row>
    <row r="911" spans="2:5" ht="15.75" customHeight="1" x14ac:dyDescent="0.2">
      <c r="B911" s="63"/>
      <c r="D911" s="14"/>
      <c r="E911" s="63"/>
    </row>
    <row r="912" spans="2:5" ht="15.75" customHeight="1" x14ac:dyDescent="0.2">
      <c r="B912" s="63"/>
      <c r="D912" s="14"/>
      <c r="E912" s="63"/>
    </row>
    <row r="913" spans="2:5" ht="15.75" customHeight="1" x14ac:dyDescent="0.2">
      <c r="B913" s="63"/>
      <c r="D913" s="14"/>
      <c r="E913" s="63"/>
    </row>
    <row r="914" spans="2:5" ht="15.75" customHeight="1" x14ac:dyDescent="0.2">
      <c r="B914" s="63"/>
      <c r="D914" s="14"/>
      <c r="E914" s="63"/>
    </row>
    <row r="915" spans="2:5" ht="15.75" customHeight="1" x14ac:dyDescent="0.2">
      <c r="B915" s="63"/>
      <c r="D915" s="14"/>
      <c r="E915" s="63"/>
    </row>
    <row r="916" spans="2:5" ht="15.75" customHeight="1" x14ac:dyDescent="0.2">
      <c r="B916" s="63"/>
      <c r="D916" s="14"/>
      <c r="E916" s="63"/>
    </row>
    <row r="917" spans="2:5" ht="15.75" customHeight="1" x14ac:dyDescent="0.2">
      <c r="B917" s="63"/>
      <c r="D917" s="14"/>
      <c r="E917" s="63"/>
    </row>
    <row r="918" spans="2:5" ht="15.75" customHeight="1" x14ac:dyDescent="0.2">
      <c r="B918" s="63"/>
      <c r="D918" s="14"/>
      <c r="E918" s="63"/>
    </row>
    <row r="919" spans="2:5" ht="15.75" customHeight="1" x14ac:dyDescent="0.2">
      <c r="B919" s="63"/>
      <c r="D919" s="14"/>
      <c r="E919" s="63"/>
    </row>
    <row r="920" spans="2:5" ht="15.75" customHeight="1" x14ac:dyDescent="0.2">
      <c r="B920" s="63"/>
      <c r="D920" s="14"/>
      <c r="E920" s="63"/>
    </row>
    <row r="921" spans="2:5" ht="15.75" customHeight="1" x14ac:dyDescent="0.2">
      <c r="B921" s="63"/>
      <c r="D921" s="14"/>
      <c r="E921" s="63"/>
    </row>
    <row r="922" spans="2:5" ht="15.75" customHeight="1" x14ac:dyDescent="0.2">
      <c r="B922" s="63"/>
      <c r="D922" s="14"/>
      <c r="E922" s="63"/>
    </row>
    <row r="923" spans="2:5" ht="15.75" customHeight="1" x14ac:dyDescent="0.2">
      <c r="B923" s="63"/>
      <c r="D923" s="14"/>
      <c r="E923" s="63"/>
    </row>
    <row r="924" spans="2:5" ht="15.75" customHeight="1" x14ac:dyDescent="0.2">
      <c r="B924" s="63"/>
      <c r="D924" s="14"/>
      <c r="E924" s="63"/>
    </row>
    <row r="925" spans="2:5" ht="15.75" customHeight="1" x14ac:dyDescent="0.2">
      <c r="B925" s="63"/>
      <c r="D925" s="14"/>
      <c r="E925" s="63"/>
    </row>
    <row r="926" spans="2:5" ht="15.75" customHeight="1" x14ac:dyDescent="0.2">
      <c r="B926" s="63"/>
      <c r="D926" s="14"/>
      <c r="E926" s="63"/>
    </row>
    <row r="927" spans="2:5" ht="15.75" customHeight="1" x14ac:dyDescent="0.2">
      <c r="B927" s="63"/>
      <c r="D927" s="14"/>
      <c r="E927" s="63"/>
    </row>
    <row r="928" spans="2:5" ht="15.75" customHeight="1" x14ac:dyDescent="0.2">
      <c r="B928" s="63"/>
      <c r="D928" s="14"/>
      <c r="E928" s="63"/>
    </row>
    <row r="929" spans="2:5" ht="15.75" customHeight="1" x14ac:dyDescent="0.2">
      <c r="B929" s="63"/>
      <c r="D929" s="14"/>
      <c r="E929" s="63"/>
    </row>
    <row r="930" spans="2:5" ht="15.75" customHeight="1" x14ac:dyDescent="0.2">
      <c r="B930" s="63"/>
      <c r="D930" s="14"/>
      <c r="E930" s="63"/>
    </row>
    <row r="931" spans="2:5" ht="15.75" customHeight="1" x14ac:dyDescent="0.2">
      <c r="B931" s="63"/>
      <c r="D931" s="14"/>
      <c r="E931" s="63"/>
    </row>
    <row r="932" spans="2:5" ht="15.75" customHeight="1" x14ac:dyDescent="0.2">
      <c r="B932" s="63"/>
      <c r="D932" s="14"/>
      <c r="E932" s="63"/>
    </row>
    <row r="933" spans="2:5" ht="15.75" customHeight="1" x14ac:dyDescent="0.2">
      <c r="B933" s="63"/>
      <c r="D933" s="14"/>
      <c r="E933" s="63"/>
    </row>
    <row r="934" spans="2:5" ht="15.75" customHeight="1" x14ac:dyDescent="0.2">
      <c r="B934" s="63"/>
      <c r="D934" s="14"/>
      <c r="E934" s="63"/>
    </row>
    <row r="935" spans="2:5" ht="15.75" customHeight="1" x14ac:dyDescent="0.2">
      <c r="B935" s="63"/>
      <c r="D935" s="14"/>
      <c r="E935" s="63"/>
    </row>
    <row r="936" spans="2:5" ht="15.75" customHeight="1" x14ac:dyDescent="0.2">
      <c r="B936" s="63"/>
      <c r="D936" s="14"/>
      <c r="E936" s="63"/>
    </row>
    <row r="937" spans="2:5" ht="15.75" customHeight="1" x14ac:dyDescent="0.2">
      <c r="B937" s="63"/>
      <c r="D937" s="14"/>
      <c r="E937" s="63"/>
    </row>
    <row r="938" spans="2:5" ht="15.75" customHeight="1" x14ac:dyDescent="0.2">
      <c r="B938" s="63"/>
      <c r="D938" s="14"/>
      <c r="E938" s="63"/>
    </row>
    <row r="939" spans="2:5" ht="15.75" customHeight="1" x14ac:dyDescent="0.2">
      <c r="B939" s="63"/>
      <c r="D939" s="14"/>
      <c r="E939" s="63"/>
    </row>
    <row r="940" spans="2:5" ht="15.75" customHeight="1" x14ac:dyDescent="0.2">
      <c r="B940" s="63"/>
      <c r="D940" s="14"/>
      <c r="E940" s="63"/>
    </row>
    <row r="941" spans="2:5" ht="15.75" customHeight="1" x14ac:dyDescent="0.2">
      <c r="B941" s="63"/>
      <c r="D941" s="14"/>
      <c r="E941" s="63"/>
    </row>
    <row r="942" spans="2:5" ht="15.75" customHeight="1" x14ac:dyDescent="0.2">
      <c r="B942" s="63"/>
      <c r="D942" s="14"/>
      <c r="E942" s="63"/>
    </row>
    <row r="943" spans="2:5" ht="15.75" customHeight="1" x14ac:dyDescent="0.2">
      <c r="B943" s="63"/>
      <c r="D943" s="14"/>
      <c r="E943" s="63"/>
    </row>
    <row r="944" spans="2:5" ht="15.75" customHeight="1" x14ac:dyDescent="0.2">
      <c r="B944" s="63"/>
      <c r="D944" s="14"/>
      <c r="E944" s="63"/>
    </row>
    <row r="945" spans="2:5" ht="15.75" customHeight="1" x14ac:dyDescent="0.2">
      <c r="B945" s="63"/>
      <c r="D945" s="14"/>
      <c r="E945" s="63"/>
    </row>
    <row r="946" spans="2:5" ht="15.75" customHeight="1" x14ac:dyDescent="0.2">
      <c r="B946" s="63"/>
      <c r="D946" s="14"/>
      <c r="E946" s="63"/>
    </row>
    <row r="947" spans="2:5" ht="15.75" customHeight="1" x14ac:dyDescent="0.2">
      <c r="B947" s="63"/>
      <c r="D947" s="14"/>
      <c r="E947" s="63"/>
    </row>
    <row r="948" spans="2:5" ht="15.75" customHeight="1" x14ac:dyDescent="0.2">
      <c r="B948" s="63"/>
      <c r="D948" s="14"/>
      <c r="E948" s="63"/>
    </row>
    <row r="949" spans="2:5" ht="15.75" customHeight="1" x14ac:dyDescent="0.2">
      <c r="B949" s="63"/>
      <c r="D949" s="14"/>
      <c r="E949" s="63"/>
    </row>
    <row r="950" spans="2:5" ht="15.75" customHeight="1" x14ac:dyDescent="0.2">
      <c r="B950" s="63"/>
      <c r="D950" s="14"/>
      <c r="E950" s="63"/>
    </row>
    <row r="951" spans="2:5" ht="15.75" customHeight="1" x14ac:dyDescent="0.2">
      <c r="B951" s="63"/>
      <c r="D951" s="14"/>
      <c r="E951" s="63"/>
    </row>
    <row r="952" spans="2:5" ht="15.75" customHeight="1" x14ac:dyDescent="0.2">
      <c r="B952" s="63"/>
      <c r="D952" s="14"/>
      <c r="E952" s="63"/>
    </row>
    <row r="953" spans="2:5" ht="15.75" customHeight="1" x14ac:dyDescent="0.2">
      <c r="B953" s="63"/>
      <c r="D953" s="14"/>
      <c r="E953" s="63"/>
    </row>
    <row r="954" spans="2:5" ht="15.75" customHeight="1" x14ac:dyDescent="0.2">
      <c r="B954" s="63"/>
      <c r="D954" s="14"/>
      <c r="E954" s="63"/>
    </row>
    <row r="955" spans="2:5" ht="15.75" customHeight="1" x14ac:dyDescent="0.2">
      <c r="B955" s="63"/>
      <c r="D955" s="14"/>
      <c r="E955" s="63"/>
    </row>
    <row r="956" spans="2:5" ht="15.75" customHeight="1" x14ac:dyDescent="0.2">
      <c r="B956" s="63"/>
      <c r="D956" s="14"/>
      <c r="E956" s="63"/>
    </row>
    <row r="957" spans="2:5" ht="15.75" customHeight="1" x14ac:dyDescent="0.2">
      <c r="B957" s="63"/>
      <c r="D957" s="14"/>
      <c r="E957" s="63"/>
    </row>
    <row r="958" spans="2:5" ht="15.75" customHeight="1" x14ac:dyDescent="0.2">
      <c r="B958" s="63"/>
      <c r="D958" s="14"/>
      <c r="E958" s="63"/>
    </row>
    <row r="959" spans="2:5" ht="15.75" customHeight="1" x14ac:dyDescent="0.2">
      <c r="B959" s="63"/>
      <c r="D959" s="14"/>
      <c r="E959" s="63"/>
    </row>
    <row r="960" spans="2:5" ht="15.75" customHeight="1" x14ac:dyDescent="0.2">
      <c r="B960" s="63"/>
      <c r="D960" s="14"/>
      <c r="E960" s="63"/>
    </row>
    <row r="961" spans="2:5" ht="15.75" customHeight="1" x14ac:dyDescent="0.2">
      <c r="B961" s="63"/>
      <c r="D961" s="14"/>
      <c r="E961" s="63"/>
    </row>
    <row r="962" spans="2:5" ht="15.75" customHeight="1" x14ac:dyDescent="0.2">
      <c r="B962" s="63"/>
      <c r="D962" s="14"/>
      <c r="E962" s="63"/>
    </row>
    <row r="963" spans="2:5" ht="15.75" customHeight="1" x14ac:dyDescent="0.2">
      <c r="B963" s="63"/>
      <c r="D963" s="14"/>
      <c r="E963" s="63"/>
    </row>
    <row r="964" spans="2:5" ht="15.75" customHeight="1" x14ac:dyDescent="0.2">
      <c r="B964" s="63"/>
      <c r="D964" s="14"/>
      <c r="E964" s="63"/>
    </row>
    <row r="965" spans="2:5" ht="15.75" customHeight="1" x14ac:dyDescent="0.2">
      <c r="B965" s="63"/>
      <c r="D965" s="14"/>
      <c r="E965" s="63"/>
    </row>
    <row r="966" spans="2:5" ht="15.75" customHeight="1" x14ac:dyDescent="0.2">
      <c r="B966" s="63"/>
      <c r="D966" s="14"/>
      <c r="E966" s="63"/>
    </row>
    <row r="967" spans="2:5" ht="15.75" customHeight="1" x14ac:dyDescent="0.2">
      <c r="B967" s="63"/>
      <c r="D967" s="14"/>
      <c r="E967" s="63"/>
    </row>
    <row r="968" spans="2:5" ht="15.75" customHeight="1" x14ac:dyDescent="0.2">
      <c r="B968" s="63"/>
      <c r="D968" s="14"/>
      <c r="E968" s="63"/>
    </row>
    <row r="969" spans="2:5" ht="15.75" customHeight="1" x14ac:dyDescent="0.2">
      <c r="B969" s="63"/>
      <c r="D969" s="14"/>
      <c r="E969" s="63"/>
    </row>
    <row r="970" spans="2:5" ht="15.75" customHeight="1" x14ac:dyDescent="0.2">
      <c r="B970" s="63"/>
      <c r="D970" s="14"/>
      <c r="E970" s="63"/>
    </row>
    <row r="971" spans="2:5" ht="15.75" customHeight="1" x14ac:dyDescent="0.2">
      <c r="B971" s="63"/>
      <c r="D971" s="14"/>
      <c r="E971" s="63"/>
    </row>
    <row r="972" spans="2:5" ht="15.75" customHeight="1" x14ac:dyDescent="0.2">
      <c r="B972" s="63"/>
      <c r="D972" s="14"/>
      <c r="E972" s="63"/>
    </row>
    <row r="973" spans="2:5" ht="15.75" customHeight="1" x14ac:dyDescent="0.2">
      <c r="B973" s="63"/>
      <c r="D973" s="14"/>
      <c r="E973" s="63"/>
    </row>
    <row r="974" spans="2:5" ht="15.75" customHeight="1" x14ac:dyDescent="0.2">
      <c r="B974" s="63"/>
      <c r="D974" s="14"/>
      <c r="E974" s="63"/>
    </row>
    <row r="975" spans="2:5" ht="15.75" customHeight="1" x14ac:dyDescent="0.2">
      <c r="B975" s="63"/>
      <c r="D975" s="14"/>
      <c r="E975" s="63"/>
    </row>
    <row r="976" spans="2:5" ht="15.75" customHeight="1" x14ac:dyDescent="0.2">
      <c r="B976" s="63"/>
      <c r="D976" s="14"/>
      <c r="E976" s="63"/>
    </row>
    <row r="977" spans="2:5" ht="15.75" customHeight="1" x14ac:dyDescent="0.2">
      <c r="B977" s="63"/>
      <c r="D977" s="14"/>
      <c r="E977" s="63"/>
    </row>
    <row r="978" spans="2:5" ht="15.75" customHeight="1" x14ac:dyDescent="0.2">
      <c r="B978" s="63"/>
      <c r="D978" s="14"/>
      <c r="E978" s="63"/>
    </row>
    <row r="979" spans="2:5" ht="15.75" customHeight="1" x14ac:dyDescent="0.2">
      <c r="B979" s="63"/>
      <c r="D979" s="14"/>
      <c r="E979" s="63"/>
    </row>
    <row r="980" spans="2:5" ht="15.75" customHeight="1" x14ac:dyDescent="0.2">
      <c r="B980" s="63"/>
      <c r="D980" s="14"/>
      <c r="E980" s="63"/>
    </row>
    <row r="981" spans="2:5" ht="15.75" customHeight="1" x14ac:dyDescent="0.2">
      <c r="B981" s="63"/>
      <c r="D981" s="14"/>
      <c r="E981" s="63"/>
    </row>
    <row r="982" spans="2:5" ht="15.75" customHeight="1" x14ac:dyDescent="0.2">
      <c r="B982" s="63"/>
      <c r="D982" s="14"/>
      <c r="E982" s="63"/>
    </row>
    <row r="983" spans="2:5" ht="15.75" customHeight="1" x14ac:dyDescent="0.2">
      <c r="B983" s="63"/>
      <c r="D983" s="14"/>
      <c r="E983" s="63"/>
    </row>
    <row r="984" spans="2:5" ht="15.75" customHeight="1" x14ac:dyDescent="0.2">
      <c r="B984" s="63"/>
      <c r="D984" s="14"/>
      <c r="E984" s="63"/>
    </row>
    <row r="985" spans="2:5" ht="15.75" customHeight="1" x14ac:dyDescent="0.2">
      <c r="B985" s="63"/>
      <c r="D985" s="14"/>
      <c r="E985" s="63"/>
    </row>
    <row r="986" spans="2:5" ht="15.75" customHeight="1" x14ac:dyDescent="0.2">
      <c r="B986" s="63"/>
      <c r="D986" s="14"/>
      <c r="E986" s="63"/>
    </row>
  </sheetData>
  <autoFilter ref="B4:F986" xr:uid="{00000000-0009-0000-0000-000002000000}"/>
  <conditionalFormatting sqref="B5:F986">
    <cfRule type="expression" dxfId="8" priority="1">
      <formula>$D5&lt;0</formula>
    </cfRule>
  </conditionalFormatting>
  <conditionalFormatting sqref="D17 D20 D23 D26 D29 D32 D35 D38">
    <cfRule type="notContainsBlanks" dxfId="7" priority="2">
      <formula>LEN(TRIM(D17))&gt;0</formula>
    </cfRule>
  </conditionalFormatting>
  <dataValidations count="2">
    <dataValidation type="custom" allowBlank="1" showDropDown="1" showInputMessage="1" showErrorMessage="1" prompt="Enter a valid date in MM-DD-YYYY format" sqref="B5:B986" xr:uid="{00000000-0002-0000-0200-000000000000}">
      <formula1>OR(NOT(ISERROR(DATEVALUE(B5))), AND(ISNUMBER(B5), LEFT(CELL("format", B5))="D"))</formula1>
    </dataValidation>
    <dataValidation type="decimal" allowBlank="1" showDropDown="1" showInputMessage="1" showErrorMessage="1" prompt="Enter a valid number" sqref="D5:D986" xr:uid="{00000000-0002-0000-0200-000001000000}">
      <formula1>-1000000000000</formula1>
      <formula2>1000000000000</formula2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nter a category from one of the income categories on the &quot;Expense and Income Categories&quot; tab" xr:uid="{00000000-0002-0000-0200-000002000000}">
          <x14:formula1>
            <xm:f>'Category Setup'!$B$45:$B$59</xm:f>
          </x14:formula1>
          <xm:sqref>E5:E986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B1:G978"/>
  <sheetViews>
    <sheetView showGridLines="0" workbookViewId="0">
      <pane ySplit="4" topLeftCell="A5" activePane="bottomLeft" state="frozen"/>
      <selection pane="bottomLeft" activeCell="E5" sqref="E5"/>
    </sheetView>
  </sheetViews>
  <sheetFormatPr defaultColWidth="12.5703125" defaultRowHeight="15" customHeight="1" x14ac:dyDescent="0.2"/>
  <cols>
    <col min="1" max="1" width="2.5703125" customWidth="1"/>
    <col min="2" max="2" width="19.42578125" customWidth="1"/>
    <col min="3" max="3" width="30.28515625" customWidth="1"/>
    <col min="4" max="4" width="10.28515625" customWidth="1"/>
    <col min="5" max="5" width="28.28515625" customWidth="1"/>
    <col min="6" max="6" width="42.5703125" customWidth="1"/>
  </cols>
  <sheetData>
    <row r="1" spans="2:7" ht="7.5" customHeight="1" x14ac:dyDescent="0.2">
      <c r="D1" s="14"/>
      <c r="G1" s="16"/>
    </row>
    <row r="2" spans="2:7" ht="15.75" customHeight="1" x14ac:dyDescent="0.2">
      <c r="B2" s="17" t="s">
        <v>46</v>
      </c>
      <c r="C2" s="18"/>
      <c r="D2" s="19"/>
      <c r="E2" s="18"/>
      <c r="F2" s="18"/>
    </row>
    <row r="3" spans="2:7" ht="7.5" customHeight="1" x14ac:dyDescent="0.2">
      <c r="B3" s="21"/>
      <c r="C3" s="21"/>
      <c r="D3" s="22"/>
      <c r="E3" s="21"/>
      <c r="F3" s="21"/>
    </row>
    <row r="4" spans="2:7" ht="15.75" customHeight="1" x14ac:dyDescent="0.2">
      <c r="B4" s="24" t="s">
        <v>6</v>
      </c>
      <c r="C4" s="24" t="s">
        <v>40</v>
      </c>
      <c r="D4" s="25" t="s">
        <v>9</v>
      </c>
      <c r="E4" s="24" t="s">
        <v>41</v>
      </c>
      <c r="F4" s="24" t="s">
        <v>12</v>
      </c>
    </row>
    <row r="5" spans="2:7" ht="15.75" customHeight="1" x14ac:dyDescent="0.2">
      <c r="B5" s="27">
        <v>45716</v>
      </c>
      <c r="C5" s="30" t="s">
        <v>47</v>
      </c>
      <c r="D5" s="45">
        <v>5</v>
      </c>
      <c r="E5" s="30" t="s">
        <v>48</v>
      </c>
      <c r="F5" s="39" t="s">
        <v>49</v>
      </c>
    </row>
    <row r="6" spans="2:7" ht="15.75" customHeight="1" x14ac:dyDescent="0.2">
      <c r="B6" s="33"/>
      <c r="C6" s="40"/>
      <c r="D6" s="42"/>
      <c r="E6" s="40"/>
      <c r="F6" s="43"/>
    </row>
    <row r="7" spans="2:7" ht="15.75" customHeight="1" x14ac:dyDescent="0.2">
      <c r="B7" s="27"/>
      <c r="C7" s="30"/>
      <c r="D7" s="45"/>
      <c r="E7" s="30"/>
      <c r="F7" s="39"/>
    </row>
    <row r="8" spans="2:7" ht="15.75" customHeight="1" x14ac:dyDescent="0.2">
      <c r="B8" s="41"/>
      <c r="C8" s="40"/>
      <c r="D8" s="42"/>
      <c r="E8" s="40"/>
      <c r="F8" s="43"/>
    </row>
    <row r="9" spans="2:7" ht="15.75" customHeight="1" x14ac:dyDescent="0.2">
      <c r="B9" s="44"/>
      <c r="C9" s="30"/>
      <c r="D9" s="45"/>
      <c r="E9" s="30"/>
      <c r="F9" s="39"/>
    </row>
    <row r="10" spans="2:7" ht="15.75" customHeight="1" x14ac:dyDescent="0.2">
      <c r="B10" s="41"/>
      <c r="C10" s="43"/>
      <c r="D10" s="42"/>
      <c r="E10" s="43"/>
      <c r="F10" s="43"/>
    </row>
    <row r="11" spans="2:7" ht="15.75" customHeight="1" x14ac:dyDescent="0.2">
      <c r="B11" s="27"/>
      <c r="C11" s="30"/>
      <c r="D11" s="45"/>
      <c r="E11" s="30"/>
      <c r="F11" s="39"/>
    </row>
    <row r="12" spans="2:7" ht="15.75" customHeight="1" x14ac:dyDescent="0.2">
      <c r="B12" s="41"/>
      <c r="C12" s="43"/>
      <c r="D12" s="42"/>
      <c r="E12" s="43"/>
      <c r="F12" s="43"/>
    </row>
    <row r="13" spans="2:7" ht="15.75" customHeight="1" x14ac:dyDescent="0.2">
      <c r="B13" s="27"/>
      <c r="C13" s="30"/>
      <c r="D13" s="45"/>
      <c r="E13" s="30"/>
      <c r="F13" s="39"/>
    </row>
    <row r="14" spans="2:7" ht="15.75" customHeight="1" x14ac:dyDescent="0.2">
      <c r="B14" s="33"/>
      <c r="C14" s="40"/>
      <c r="D14" s="42"/>
      <c r="E14" s="40"/>
      <c r="F14" s="43"/>
    </row>
    <row r="15" spans="2:7" ht="15.75" customHeight="1" x14ac:dyDescent="0.2">
      <c r="B15" s="27"/>
      <c r="C15" s="30"/>
      <c r="D15" s="45"/>
      <c r="E15" s="30"/>
      <c r="F15" s="39"/>
    </row>
    <row r="16" spans="2:7" ht="15.75" customHeight="1" x14ac:dyDescent="0.2">
      <c r="B16" s="33"/>
      <c r="C16" s="40"/>
      <c r="D16" s="42"/>
      <c r="E16" s="40"/>
      <c r="F16" s="43"/>
    </row>
    <row r="17" spans="2:6" ht="15.75" customHeight="1" x14ac:dyDescent="0.2">
      <c r="B17" s="44"/>
      <c r="C17" s="39"/>
      <c r="D17" s="45"/>
      <c r="E17" s="39"/>
      <c r="F17" s="39"/>
    </row>
    <row r="18" spans="2:6" ht="15.75" customHeight="1" x14ac:dyDescent="0.2">
      <c r="B18" s="33"/>
      <c r="C18" s="40"/>
      <c r="D18" s="42"/>
      <c r="E18" s="40"/>
      <c r="F18" s="43"/>
    </row>
    <row r="19" spans="2:6" ht="15.75" customHeight="1" x14ac:dyDescent="0.2">
      <c r="B19" s="27"/>
      <c r="C19" s="30"/>
      <c r="D19" s="45"/>
      <c r="E19" s="30"/>
      <c r="F19" s="39"/>
    </row>
    <row r="20" spans="2:6" ht="15.75" customHeight="1" x14ac:dyDescent="0.2">
      <c r="B20" s="33"/>
      <c r="C20" s="40"/>
      <c r="D20" s="42"/>
      <c r="E20" s="40"/>
      <c r="F20" s="43"/>
    </row>
    <row r="21" spans="2:6" ht="15.75" customHeight="1" x14ac:dyDescent="0.2">
      <c r="B21" s="27"/>
      <c r="C21" s="30"/>
      <c r="D21" s="45"/>
      <c r="E21" s="30"/>
      <c r="F21" s="39"/>
    </row>
    <row r="22" spans="2:6" ht="15.75" customHeight="1" x14ac:dyDescent="0.2">
      <c r="B22" s="33"/>
      <c r="C22" s="40"/>
      <c r="D22" s="42"/>
      <c r="E22" s="40"/>
      <c r="F22" s="43"/>
    </row>
    <row r="23" spans="2:6" ht="15.75" customHeight="1" x14ac:dyDescent="0.2">
      <c r="B23" s="27"/>
      <c r="C23" s="30"/>
      <c r="D23" s="45"/>
      <c r="E23" s="30"/>
      <c r="F23" s="39"/>
    </row>
    <row r="24" spans="2:6" ht="15.75" customHeight="1" x14ac:dyDescent="0.2">
      <c r="B24" s="41"/>
      <c r="C24" s="43"/>
      <c r="D24" s="42"/>
      <c r="E24" s="43"/>
      <c r="F24" s="43"/>
    </row>
    <row r="25" spans="2:6" ht="15.75" customHeight="1" x14ac:dyDescent="0.2">
      <c r="B25" s="44"/>
      <c r="C25" s="39"/>
      <c r="D25" s="45"/>
      <c r="E25" s="39"/>
      <c r="F25" s="39"/>
    </row>
    <row r="26" spans="2:6" ht="15.75" customHeight="1" x14ac:dyDescent="0.2">
      <c r="B26" s="41"/>
      <c r="C26" s="43"/>
      <c r="D26" s="42"/>
      <c r="E26" s="43"/>
      <c r="F26" s="43"/>
    </row>
    <row r="27" spans="2:6" ht="15.75" customHeight="1" x14ac:dyDescent="0.2">
      <c r="B27" s="44"/>
      <c r="C27" s="39"/>
      <c r="D27" s="45"/>
      <c r="E27" s="39"/>
      <c r="F27" s="39"/>
    </row>
    <row r="28" spans="2:6" ht="15.75" customHeight="1" x14ac:dyDescent="0.2">
      <c r="B28" s="41"/>
      <c r="C28" s="43"/>
      <c r="D28" s="42"/>
      <c r="E28" s="43"/>
      <c r="F28" s="43"/>
    </row>
    <row r="29" spans="2:6" ht="15.75" customHeight="1" x14ac:dyDescent="0.2">
      <c r="B29" s="44"/>
      <c r="C29" s="39"/>
      <c r="D29" s="45"/>
      <c r="E29" s="39"/>
      <c r="F29" s="39"/>
    </row>
    <row r="30" spans="2:6" ht="15.75" customHeight="1" x14ac:dyDescent="0.2">
      <c r="B30" s="41"/>
      <c r="C30" s="43"/>
      <c r="D30" s="42"/>
      <c r="E30" s="43"/>
      <c r="F30" s="43"/>
    </row>
    <row r="31" spans="2:6" ht="15.75" customHeight="1" x14ac:dyDescent="0.2">
      <c r="B31" s="44"/>
      <c r="C31" s="39"/>
      <c r="D31" s="45"/>
      <c r="E31" s="39"/>
      <c r="F31" s="39"/>
    </row>
    <row r="32" spans="2:6" ht="15.75" customHeight="1" x14ac:dyDescent="0.2">
      <c r="B32" s="41"/>
      <c r="C32" s="43"/>
      <c r="D32" s="42"/>
      <c r="E32" s="43"/>
      <c r="F32" s="43"/>
    </row>
    <row r="33" spans="2:6" ht="15.75" customHeight="1" x14ac:dyDescent="0.2">
      <c r="B33" s="44"/>
      <c r="C33" s="39"/>
      <c r="D33" s="45"/>
      <c r="E33" s="39"/>
      <c r="F33" s="39"/>
    </row>
    <row r="34" spans="2:6" ht="15.75" customHeight="1" x14ac:dyDescent="0.2">
      <c r="B34" s="41"/>
      <c r="C34" s="43"/>
      <c r="D34" s="42"/>
      <c r="E34" s="43"/>
      <c r="F34" s="43"/>
    </row>
    <row r="35" spans="2:6" ht="15.75" customHeight="1" x14ac:dyDescent="0.2">
      <c r="B35" s="44"/>
      <c r="C35" s="39"/>
      <c r="D35" s="45"/>
      <c r="E35" s="39"/>
      <c r="F35" s="39"/>
    </row>
    <row r="36" spans="2:6" ht="15.75" customHeight="1" x14ac:dyDescent="0.2">
      <c r="B36" s="41"/>
      <c r="C36" s="43"/>
      <c r="D36" s="42"/>
      <c r="E36" s="43"/>
      <c r="F36" s="43"/>
    </row>
    <row r="37" spans="2:6" ht="15.75" customHeight="1" x14ac:dyDescent="0.2">
      <c r="B37" s="44"/>
      <c r="C37" s="39"/>
      <c r="D37" s="45"/>
      <c r="E37" s="39"/>
      <c r="F37" s="39"/>
    </row>
    <row r="38" spans="2:6" ht="15.75" customHeight="1" x14ac:dyDescent="0.2">
      <c r="B38" s="41"/>
      <c r="C38" s="43"/>
      <c r="D38" s="42"/>
      <c r="E38" s="43"/>
      <c r="F38" s="43"/>
    </row>
    <row r="39" spans="2:6" ht="15.75" customHeight="1" x14ac:dyDescent="0.2">
      <c r="B39" s="44"/>
      <c r="C39" s="39"/>
      <c r="D39" s="45"/>
      <c r="E39" s="39"/>
      <c r="F39" s="39"/>
    </row>
    <row r="40" spans="2:6" ht="15.75" customHeight="1" x14ac:dyDescent="0.2">
      <c r="B40" s="41"/>
      <c r="C40" s="43"/>
      <c r="D40" s="42"/>
      <c r="E40" s="43"/>
      <c r="F40" s="43"/>
    </row>
    <row r="41" spans="2:6" ht="15.75" customHeight="1" x14ac:dyDescent="0.2">
      <c r="B41" s="44"/>
      <c r="C41" s="39"/>
      <c r="D41" s="45"/>
      <c r="E41" s="39"/>
      <c r="F41" s="39"/>
    </row>
    <row r="42" spans="2:6" ht="15.75" customHeight="1" x14ac:dyDescent="0.2">
      <c r="B42" s="41"/>
      <c r="C42" s="43"/>
      <c r="D42" s="42"/>
      <c r="E42" s="43"/>
      <c r="F42" s="43"/>
    </row>
    <row r="43" spans="2:6" ht="15.75" customHeight="1" x14ac:dyDescent="0.2">
      <c r="B43" s="44"/>
      <c r="C43" s="39"/>
      <c r="D43" s="45"/>
      <c r="E43" s="39"/>
      <c r="F43" s="39"/>
    </row>
    <row r="44" spans="2:6" ht="15.75" customHeight="1" x14ac:dyDescent="0.2">
      <c r="B44" s="41"/>
      <c r="C44" s="43"/>
      <c r="D44" s="42"/>
      <c r="E44" s="43"/>
      <c r="F44" s="43"/>
    </row>
    <row r="45" spans="2:6" ht="15.75" customHeight="1" x14ac:dyDescent="0.2">
      <c r="B45" s="44"/>
      <c r="C45" s="39"/>
      <c r="D45" s="45"/>
      <c r="E45" s="39"/>
      <c r="F45" s="39"/>
    </row>
    <row r="46" spans="2:6" ht="15.75" customHeight="1" x14ac:dyDescent="0.2">
      <c r="B46" s="41"/>
      <c r="C46" s="43"/>
      <c r="D46" s="42"/>
      <c r="E46" s="43"/>
      <c r="F46" s="43"/>
    </row>
    <row r="47" spans="2:6" ht="15.75" customHeight="1" x14ac:dyDescent="0.2">
      <c r="B47" s="44"/>
      <c r="C47" s="39"/>
      <c r="D47" s="45"/>
      <c r="E47" s="39"/>
      <c r="F47" s="39"/>
    </row>
    <row r="48" spans="2:6" ht="15.75" customHeight="1" x14ac:dyDescent="0.2">
      <c r="B48" s="41"/>
      <c r="C48" s="43"/>
      <c r="D48" s="42"/>
      <c r="E48" s="43"/>
      <c r="F48" s="43"/>
    </row>
    <row r="49" spans="2:6" ht="15.75" customHeight="1" x14ac:dyDescent="0.2">
      <c r="B49" s="44"/>
      <c r="C49" s="39"/>
      <c r="D49" s="45"/>
      <c r="E49" s="39"/>
      <c r="F49" s="39"/>
    </row>
    <row r="50" spans="2:6" ht="15.75" customHeight="1" x14ac:dyDescent="0.2">
      <c r="B50" s="41"/>
      <c r="C50" s="43"/>
      <c r="D50" s="42"/>
      <c r="E50" s="43"/>
      <c r="F50" s="43"/>
    </row>
    <row r="51" spans="2:6" ht="15.75" customHeight="1" x14ac:dyDescent="0.2">
      <c r="B51" s="44"/>
      <c r="C51" s="39"/>
      <c r="D51" s="45"/>
      <c r="E51" s="39"/>
      <c r="F51" s="39"/>
    </row>
    <row r="52" spans="2:6" ht="15.75" customHeight="1" x14ac:dyDescent="0.2">
      <c r="B52" s="41"/>
      <c r="C52" s="43"/>
      <c r="D52" s="42"/>
      <c r="E52" s="43"/>
      <c r="F52" s="43"/>
    </row>
    <row r="53" spans="2:6" ht="15.75" customHeight="1" x14ac:dyDescent="0.2">
      <c r="B53" s="44"/>
      <c r="C53" s="39"/>
      <c r="D53" s="45"/>
      <c r="E53" s="39"/>
      <c r="F53" s="39"/>
    </row>
    <row r="54" spans="2:6" ht="15.75" customHeight="1" x14ac:dyDescent="0.2">
      <c r="B54" s="41"/>
      <c r="C54" s="43"/>
      <c r="D54" s="42"/>
      <c r="E54" s="43"/>
      <c r="F54" s="43"/>
    </row>
    <row r="55" spans="2:6" ht="15.75" customHeight="1" x14ac:dyDescent="0.2">
      <c r="B55" s="44"/>
      <c r="C55" s="39"/>
      <c r="D55" s="45"/>
      <c r="E55" s="39"/>
      <c r="F55" s="39"/>
    </row>
    <row r="56" spans="2:6" ht="15.75" customHeight="1" x14ac:dyDescent="0.2">
      <c r="B56" s="41"/>
      <c r="C56" s="43"/>
      <c r="D56" s="42"/>
      <c r="E56" s="43"/>
      <c r="F56" s="43"/>
    </row>
    <row r="57" spans="2:6" ht="15.75" customHeight="1" x14ac:dyDescent="0.2">
      <c r="B57" s="44"/>
      <c r="C57" s="39"/>
      <c r="D57" s="45"/>
      <c r="E57" s="39"/>
      <c r="F57" s="39"/>
    </row>
    <row r="58" spans="2:6" ht="15.75" customHeight="1" x14ac:dyDescent="0.2">
      <c r="B58" s="41"/>
      <c r="C58" s="43"/>
      <c r="D58" s="42"/>
      <c r="E58" s="43"/>
      <c r="F58" s="43"/>
    </row>
    <row r="59" spans="2:6" ht="15.75" customHeight="1" x14ac:dyDescent="0.2">
      <c r="B59" s="44"/>
      <c r="C59" s="39"/>
      <c r="D59" s="45"/>
      <c r="E59" s="39"/>
      <c r="F59" s="39"/>
    </row>
    <row r="60" spans="2:6" ht="15.75" customHeight="1" x14ac:dyDescent="0.2">
      <c r="B60" s="41"/>
      <c r="C60" s="43"/>
      <c r="D60" s="42"/>
      <c r="E60" s="43"/>
      <c r="F60" s="43"/>
    </row>
    <row r="61" spans="2:6" ht="15.75" customHeight="1" x14ac:dyDescent="0.2">
      <c r="B61" s="44"/>
      <c r="C61" s="39"/>
      <c r="D61" s="45"/>
      <c r="E61" s="39"/>
      <c r="F61" s="39"/>
    </row>
    <row r="62" spans="2:6" ht="15.75" customHeight="1" x14ac:dyDescent="0.2">
      <c r="B62" s="41"/>
      <c r="C62" s="43"/>
      <c r="D62" s="42"/>
      <c r="E62" s="43"/>
      <c r="F62" s="43"/>
    </row>
    <row r="63" spans="2:6" ht="15.75" customHeight="1" x14ac:dyDescent="0.2">
      <c r="B63" s="44"/>
      <c r="C63" s="39"/>
      <c r="D63" s="45"/>
      <c r="E63" s="39"/>
      <c r="F63" s="39"/>
    </row>
    <row r="64" spans="2:6" ht="15.75" customHeight="1" x14ac:dyDescent="0.2">
      <c r="B64" s="41"/>
      <c r="C64" s="43"/>
      <c r="D64" s="42"/>
      <c r="E64" s="43"/>
      <c r="F64" s="43"/>
    </row>
    <row r="65" spans="2:6" ht="15.75" customHeight="1" x14ac:dyDescent="0.2">
      <c r="B65" s="44"/>
      <c r="C65" s="39"/>
      <c r="D65" s="45"/>
      <c r="E65" s="39"/>
      <c r="F65" s="39"/>
    </row>
    <row r="66" spans="2:6" ht="15.75" customHeight="1" x14ac:dyDescent="0.2">
      <c r="B66" s="41"/>
      <c r="C66" s="43"/>
      <c r="D66" s="42"/>
      <c r="E66" s="43"/>
      <c r="F66" s="43"/>
    </row>
    <row r="67" spans="2:6" ht="15.75" customHeight="1" x14ac:dyDescent="0.2">
      <c r="B67" s="44"/>
      <c r="C67" s="39"/>
      <c r="D67" s="45"/>
      <c r="E67" s="39"/>
      <c r="F67" s="39"/>
    </row>
    <row r="68" spans="2:6" ht="15.75" customHeight="1" x14ac:dyDescent="0.2">
      <c r="B68" s="41"/>
      <c r="C68" s="43"/>
      <c r="D68" s="42"/>
      <c r="E68" s="43"/>
      <c r="F68" s="43"/>
    </row>
    <row r="69" spans="2:6" ht="15.75" customHeight="1" x14ac:dyDescent="0.2">
      <c r="B69" s="44"/>
      <c r="C69" s="39"/>
      <c r="D69" s="45"/>
      <c r="E69" s="39"/>
      <c r="F69" s="39"/>
    </row>
    <row r="70" spans="2:6" ht="15.75" customHeight="1" x14ac:dyDescent="0.2">
      <c r="B70" s="41"/>
      <c r="C70" s="43"/>
      <c r="D70" s="42"/>
      <c r="E70" s="43"/>
      <c r="F70" s="43"/>
    </row>
    <row r="71" spans="2:6" ht="15.75" customHeight="1" x14ac:dyDescent="0.2">
      <c r="B71" s="44"/>
      <c r="C71" s="39"/>
      <c r="D71" s="45"/>
      <c r="E71" s="39"/>
      <c r="F71" s="39"/>
    </row>
    <row r="72" spans="2:6" ht="15.75" customHeight="1" x14ac:dyDescent="0.2">
      <c r="B72" s="41"/>
      <c r="C72" s="43"/>
      <c r="D72" s="42"/>
      <c r="E72" s="43"/>
      <c r="F72" s="43"/>
    </row>
    <row r="73" spans="2:6" ht="15.75" customHeight="1" x14ac:dyDescent="0.2">
      <c r="B73" s="44"/>
      <c r="C73" s="39"/>
      <c r="D73" s="45"/>
      <c r="E73" s="39"/>
      <c r="F73" s="39"/>
    </row>
    <row r="74" spans="2:6" ht="15.75" customHeight="1" x14ac:dyDescent="0.2">
      <c r="B74" s="41"/>
      <c r="C74" s="43"/>
      <c r="D74" s="42"/>
      <c r="E74" s="43"/>
      <c r="F74" s="43"/>
    </row>
    <row r="75" spans="2:6" ht="15.75" customHeight="1" x14ac:dyDescent="0.2">
      <c r="B75" s="44"/>
      <c r="C75" s="39"/>
      <c r="D75" s="45"/>
      <c r="E75" s="39"/>
      <c r="F75" s="39"/>
    </row>
    <row r="76" spans="2:6" ht="15.75" customHeight="1" x14ac:dyDescent="0.2">
      <c r="B76" s="41"/>
      <c r="C76" s="43"/>
      <c r="D76" s="42"/>
      <c r="E76" s="43"/>
      <c r="F76" s="43"/>
    </row>
    <row r="77" spans="2:6" ht="15.75" customHeight="1" x14ac:dyDescent="0.2">
      <c r="B77" s="44"/>
      <c r="C77" s="39"/>
      <c r="D77" s="45"/>
      <c r="E77" s="39"/>
      <c r="F77" s="39"/>
    </row>
    <row r="78" spans="2:6" ht="15.75" customHeight="1" x14ac:dyDescent="0.2">
      <c r="B78" s="41"/>
      <c r="C78" s="43"/>
      <c r="D78" s="42"/>
      <c r="E78" s="43"/>
      <c r="F78" s="43"/>
    </row>
    <row r="79" spans="2:6" ht="15.75" customHeight="1" x14ac:dyDescent="0.2">
      <c r="B79" s="44"/>
      <c r="C79" s="39"/>
      <c r="D79" s="45"/>
      <c r="E79" s="39"/>
      <c r="F79" s="39"/>
    </row>
    <row r="80" spans="2:6" ht="15.75" customHeight="1" x14ac:dyDescent="0.2">
      <c r="B80" s="41"/>
      <c r="C80" s="43"/>
      <c r="D80" s="42"/>
      <c r="E80" s="43"/>
      <c r="F80" s="43"/>
    </row>
    <row r="81" spans="2:6" ht="15.75" customHeight="1" x14ac:dyDescent="0.2">
      <c r="B81" s="44"/>
      <c r="C81" s="39"/>
      <c r="D81" s="45"/>
      <c r="E81" s="39"/>
      <c r="F81" s="39"/>
    </row>
    <row r="82" spans="2:6" ht="15.75" customHeight="1" x14ac:dyDescent="0.2">
      <c r="B82" s="41"/>
      <c r="C82" s="43"/>
      <c r="D82" s="42"/>
      <c r="E82" s="43"/>
      <c r="F82" s="43"/>
    </row>
    <row r="83" spans="2:6" ht="15.75" customHeight="1" x14ac:dyDescent="0.2">
      <c r="B83" s="44"/>
      <c r="C83" s="39"/>
      <c r="D83" s="45"/>
      <c r="E83" s="39"/>
      <c r="F83" s="39"/>
    </row>
    <row r="84" spans="2:6" ht="15.75" customHeight="1" x14ac:dyDescent="0.2">
      <c r="B84" s="41"/>
      <c r="C84" s="43"/>
      <c r="D84" s="42"/>
      <c r="E84" s="43"/>
      <c r="F84" s="43"/>
    </row>
    <row r="85" spans="2:6" ht="15.75" customHeight="1" x14ac:dyDescent="0.2">
      <c r="B85" s="44"/>
      <c r="C85" s="39"/>
      <c r="D85" s="45"/>
      <c r="E85" s="39"/>
      <c r="F85" s="39"/>
    </row>
    <row r="86" spans="2:6" ht="15.75" customHeight="1" x14ac:dyDescent="0.2">
      <c r="B86" s="41"/>
      <c r="C86" s="43"/>
      <c r="D86" s="42"/>
      <c r="E86" s="43"/>
      <c r="F86" s="43"/>
    </row>
    <row r="87" spans="2:6" ht="15.75" customHeight="1" x14ac:dyDescent="0.2">
      <c r="B87" s="44"/>
      <c r="C87" s="39"/>
      <c r="D87" s="45"/>
      <c r="E87" s="39"/>
      <c r="F87" s="39"/>
    </row>
    <row r="88" spans="2:6" ht="15.75" customHeight="1" x14ac:dyDescent="0.2">
      <c r="B88" s="41"/>
      <c r="C88" s="43"/>
      <c r="D88" s="42"/>
      <c r="E88" s="43"/>
      <c r="F88" s="43"/>
    </row>
    <row r="89" spans="2:6" ht="15.75" customHeight="1" x14ac:dyDescent="0.2">
      <c r="B89" s="44"/>
      <c r="C89" s="39"/>
      <c r="D89" s="45"/>
      <c r="E89" s="39"/>
      <c r="F89" s="39"/>
    </row>
    <row r="90" spans="2:6" ht="15.75" customHeight="1" x14ac:dyDescent="0.2">
      <c r="B90" s="41"/>
      <c r="C90" s="43"/>
      <c r="D90" s="42"/>
      <c r="E90" s="43"/>
      <c r="F90" s="43"/>
    </row>
    <row r="91" spans="2:6" ht="15.75" customHeight="1" x14ac:dyDescent="0.2">
      <c r="B91" s="44"/>
      <c r="C91" s="39"/>
      <c r="D91" s="45"/>
      <c r="E91" s="39"/>
      <c r="F91" s="39"/>
    </row>
    <row r="92" spans="2:6" ht="15.75" customHeight="1" x14ac:dyDescent="0.2">
      <c r="B92" s="41"/>
      <c r="C92" s="43"/>
      <c r="D92" s="42"/>
      <c r="E92" s="43"/>
      <c r="F92" s="43"/>
    </row>
    <row r="93" spans="2:6" ht="15.75" customHeight="1" x14ac:dyDescent="0.2">
      <c r="B93" s="44"/>
      <c r="C93" s="39"/>
      <c r="D93" s="45"/>
      <c r="E93" s="39"/>
      <c r="F93" s="39"/>
    </row>
    <row r="94" spans="2:6" ht="15.75" customHeight="1" x14ac:dyDescent="0.2">
      <c r="B94" s="41"/>
      <c r="C94" s="43"/>
      <c r="D94" s="42"/>
      <c r="E94" s="43"/>
      <c r="F94" s="43"/>
    </row>
    <row r="95" spans="2:6" ht="15.75" customHeight="1" x14ac:dyDescent="0.2">
      <c r="B95" s="44"/>
      <c r="C95" s="39"/>
      <c r="D95" s="45"/>
      <c r="E95" s="39"/>
      <c r="F95" s="39"/>
    </row>
    <row r="96" spans="2:6" ht="15.75" customHeight="1" x14ac:dyDescent="0.2">
      <c r="B96" s="41"/>
      <c r="C96" s="43"/>
      <c r="D96" s="42"/>
      <c r="E96" s="43"/>
      <c r="F96" s="43"/>
    </row>
    <row r="97" spans="2:6" ht="15.75" customHeight="1" x14ac:dyDescent="0.2">
      <c r="B97" s="44"/>
      <c r="C97" s="39"/>
      <c r="D97" s="45"/>
      <c r="E97" s="39"/>
      <c r="F97" s="39"/>
    </row>
    <row r="98" spans="2:6" ht="15.75" customHeight="1" x14ac:dyDescent="0.2">
      <c r="B98" s="41"/>
      <c r="C98" s="43"/>
      <c r="D98" s="42"/>
      <c r="E98" s="43"/>
      <c r="F98" s="43"/>
    </row>
    <row r="99" spans="2:6" ht="15.75" customHeight="1" x14ac:dyDescent="0.2">
      <c r="B99" s="44"/>
      <c r="C99" s="39"/>
      <c r="D99" s="45"/>
      <c r="E99" s="39"/>
      <c r="F99" s="39"/>
    </row>
    <row r="100" spans="2:6" ht="15.75" customHeight="1" x14ac:dyDescent="0.2">
      <c r="B100" s="41"/>
      <c r="C100" s="43"/>
      <c r="D100" s="42"/>
      <c r="E100" s="43"/>
      <c r="F100" s="43"/>
    </row>
    <row r="101" spans="2:6" ht="15.75" customHeight="1" x14ac:dyDescent="0.2">
      <c r="B101" s="44"/>
      <c r="C101" s="39"/>
      <c r="D101" s="45"/>
      <c r="E101" s="39"/>
      <c r="F101" s="39"/>
    </row>
    <row r="102" spans="2:6" ht="15.75" customHeight="1" x14ac:dyDescent="0.2">
      <c r="B102" s="41"/>
      <c r="C102" s="43"/>
      <c r="D102" s="42"/>
      <c r="E102" s="43"/>
      <c r="F102" s="43"/>
    </row>
    <row r="103" spans="2:6" ht="15.75" customHeight="1" x14ac:dyDescent="0.2">
      <c r="B103" s="44"/>
      <c r="C103" s="39"/>
      <c r="D103" s="45"/>
      <c r="E103" s="39"/>
      <c r="F103" s="39"/>
    </row>
    <row r="104" spans="2:6" ht="15.75" customHeight="1" x14ac:dyDescent="0.2">
      <c r="B104" s="41"/>
      <c r="C104" s="43"/>
      <c r="D104" s="42"/>
      <c r="E104" s="43"/>
      <c r="F104" s="43"/>
    </row>
    <row r="105" spans="2:6" ht="15.75" customHeight="1" x14ac:dyDescent="0.2">
      <c r="B105" s="44"/>
      <c r="C105" s="39"/>
      <c r="D105" s="45"/>
      <c r="E105" s="39"/>
      <c r="F105" s="39"/>
    </row>
    <row r="106" spans="2:6" ht="15.75" customHeight="1" x14ac:dyDescent="0.2">
      <c r="B106" s="41"/>
      <c r="C106" s="43"/>
      <c r="D106" s="42"/>
      <c r="E106" s="43"/>
      <c r="F106" s="43"/>
    </row>
    <row r="107" spans="2:6" ht="15.75" customHeight="1" x14ac:dyDescent="0.2">
      <c r="B107" s="44"/>
      <c r="C107" s="39"/>
      <c r="D107" s="45"/>
      <c r="E107" s="39"/>
      <c r="F107" s="39"/>
    </row>
    <row r="108" spans="2:6" ht="15.75" customHeight="1" x14ac:dyDescent="0.2">
      <c r="B108" s="41"/>
      <c r="C108" s="43"/>
      <c r="D108" s="42"/>
      <c r="E108" s="43"/>
      <c r="F108" s="43"/>
    </row>
    <row r="109" spans="2:6" ht="15.75" customHeight="1" x14ac:dyDescent="0.2">
      <c r="B109" s="44"/>
      <c r="C109" s="39"/>
      <c r="D109" s="45"/>
      <c r="E109" s="39"/>
      <c r="F109" s="39"/>
    </row>
    <row r="110" spans="2:6" ht="15.75" customHeight="1" x14ac:dyDescent="0.2">
      <c r="B110" s="41"/>
      <c r="C110" s="43"/>
      <c r="D110" s="42"/>
      <c r="E110" s="43"/>
      <c r="F110" s="43"/>
    </row>
    <row r="111" spans="2:6" ht="15.75" customHeight="1" x14ac:dyDescent="0.2">
      <c r="B111" s="44"/>
      <c r="C111" s="39"/>
      <c r="D111" s="45"/>
      <c r="E111" s="39"/>
      <c r="F111" s="39"/>
    </row>
    <row r="112" spans="2:6" ht="15.75" customHeight="1" x14ac:dyDescent="0.2">
      <c r="B112" s="41"/>
      <c r="C112" s="43"/>
      <c r="D112" s="42"/>
      <c r="E112" s="43"/>
      <c r="F112" s="43"/>
    </row>
    <row r="113" spans="2:6" ht="15.75" customHeight="1" x14ac:dyDescent="0.2">
      <c r="B113" s="44"/>
      <c r="C113" s="39"/>
      <c r="D113" s="45"/>
      <c r="E113" s="39"/>
      <c r="F113" s="39"/>
    </row>
    <row r="114" spans="2:6" ht="15.75" customHeight="1" x14ac:dyDescent="0.2">
      <c r="B114" s="41"/>
      <c r="C114" s="43"/>
      <c r="D114" s="42"/>
      <c r="E114" s="43"/>
      <c r="F114" s="43"/>
    </row>
    <row r="115" spans="2:6" ht="15.75" customHeight="1" x14ac:dyDescent="0.2">
      <c r="B115" s="44"/>
      <c r="C115" s="39"/>
      <c r="D115" s="45"/>
      <c r="E115" s="39"/>
      <c r="F115" s="39"/>
    </row>
    <row r="116" spans="2:6" ht="15.75" customHeight="1" x14ac:dyDescent="0.2">
      <c r="B116" s="41"/>
      <c r="C116" s="43"/>
      <c r="D116" s="42"/>
      <c r="E116" s="43"/>
      <c r="F116" s="43"/>
    </row>
    <row r="117" spans="2:6" ht="15.75" customHeight="1" x14ac:dyDescent="0.2">
      <c r="B117" s="44"/>
      <c r="C117" s="39"/>
      <c r="D117" s="45"/>
      <c r="E117" s="39"/>
      <c r="F117" s="39"/>
    </row>
    <row r="118" spans="2:6" ht="15.75" customHeight="1" x14ac:dyDescent="0.2">
      <c r="B118" s="41"/>
      <c r="C118" s="43"/>
      <c r="D118" s="42"/>
      <c r="E118" s="43"/>
      <c r="F118" s="43"/>
    </row>
    <row r="119" spans="2:6" ht="15.75" customHeight="1" x14ac:dyDescent="0.2">
      <c r="B119" s="44"/>
      <c r="C119" s="39"/>
      <c r="D119" s="45"/>
      <c r="E119" s="39"/>
      <c r="F119" s="39"/>
    </row>
    <row r="120" spans="2:6" ht="15.75" customHeight="1" x14ac:dyDescent="0.2">
      <c r="B120" s="41"/>
      <c r="C120" s="43"/>
      <c r="D120" s="42"/>
      <c r="E120" s="43"/>
      <c r="F120" s="43"/>
    </row>
    <row r="121" spans="2:6" ht="15.75" customHeight="1" x14ac:dyDescent="0.2">
      <c r="B121" s="44"/>
      <c r="C121" s="39"/>
      <c r="D121" s="45"/>
      <c r="E121" s="39"/>
      <c r="F121" s="39"/>
    </row>
    <row r="122" spans="2:6" ht="15.75" customHeight="1" x14ac:dyDescent="0.2">
      <c r="B122" s="41"/>
      <c r="C122" s="43"/>
      <c r="D122" s="42"/>
      <c r="E122" s="43"/>
      <c r="F122" s="43"/>
    </row>
    <row r="123" spans="2:6" ht="15.75" customHeight="1" x14ac:dyDescent="0.2">
      <c r="B123" s="44"/>
      <c r="C123" s="39"/>
      <c r="D123" s="45"/>
      <c r="E123" s="39"/>
      <c r="F123" s="39"/>
    </row>
    <row r="124" spans="2:6" ht="15.75" customHeight="1" x14ac:dyDescent="0.2">
      <c r="B124" s="41"/>
      <c r="C124" s="43"/>
      <c r="D124" s="42"/>
      <c r="E124" s="43"/>
      <c r="F124" s="43"/>
    </row>
    <row r="125" spans="2:6" ht="15.75" customHeight="1" x14ac:dyDescent="0.2">
      <c r="B125" s="44"/>
      <c r="C125" s="39"/>
      <c r="D125" s="45"/>
      <c r="E125" s="39"/>
      <c r="F125" s="39"/>
    </row>
    <row r="126" spans="2:6" ht="15.75" customHeight="1" x14ac:dyDescent="0.2">
      <c r="B126" s="41"/>
      <c r="C126" s="43"/>
      <c r="D126" s="42"/>
      <c r="E126" s="43"/>
      <c r="F126" s="43"/>
    </row>
    <row r="127" spans="2:6" ht="15.75" customHeight="1" x14ac:dyDescent="0.2">
      <c r="B127" s="44"/>
      <c r="C127" s="39"/>
      <c r="D127" s="45"/>
      <c r="E127" s="39"/>
      <c r="F127" s="39"/>
    </row>
    <row r="128" spans="2:6" ht="15.75" customHeight="1" x14ac:dyDescent="0.2">
      <c r="B128" s="41"/>
      <c r="C128" s="43"/>
      <c r="D128" s="42"/>
      <c r="E128" s="43"/>
      <c r="F128" s="43"/>
    </row>
    <row r="129" spans="2:6" ht="15.75" customHeight="1" x14ac:dyDescent="0.2">
      <c r="B129" s="44"/>
      <c r="C129" s="39"/>
      <c r="D129" s="45"/>
      <c r="E129" s="39"/>
      <c r="F129" s="39"/>
    </row>
    <row r="130" spans="2:6" ht="15.75" customHeight="1" x14ac:dyDescent="0.2">
      <c r="B130" s="41"/>
      <c r="C130" s="43"/>
      <c r="D130" s="42"/>
      <c r="E130" s="43"/>
      <c r="F130" s="43"/>
    </row>
    <row r="131" spans="2:6" ht="15.75" customHeight="1" x14ac:dyDescent="0.2">
      <c r="B131" s="44"/>
      <c r="C131" s="39"/>
      <c r="D131" s="45"/>
      <c r="E131" s="39"/>
      <c r="F131" s="39"/>
    </row>
    <row r="132" spans="2:6" ht="15.75" customHeight="1" x14ac:dyDescent="0.2">
      <c r="B132" s="41"/>
      <c r="C132" s="43"/>
      <c r="D132" s="42"/>
      <c r="E132" s="43"/>
      <c r="F132" s="43"/>
    </row>
    <row r="133" spans="2:6" ht="15.75" customHeight="1" x14ac:dyDescent="0.2">
      <c r="B133" s="44"/>
      <c r="C133" s="39"/>
      <c r="D133" s="45"/>
      <c r="E133" s="39"/>
      <c r="F133" s="39"/>
    </row>
    <row r="134" spans="2:6" ht="15.75" customHeight="1" x14ac:dyDescent="0.2">
      <c r="B134" s="41"/>
      <c r="C134" s="43"/>
      <c r="D134" s="42"/>
      <c r="E134" s="43"/>
      <c r="F134" s="43"/>
    </row>
    <row r="135" spans="2:6" ht="15.75" customHeight="1" x14ac:dyDescent="0.2">
      <c r="B135" s="44"/>
      <c r="C135" s="39"/>
      <c r="D135" s="45"/>
      <c r="E135" s="39"/>
      <c r="F135" s="39"/>
    </row>
    <row r="136" spans="2:6" ht="15.75" customHeight="1" x14ac:dyDescent="0.2">
      <c r="B136" s="41"/>
      <c r="C136" s="43"/>
      <c r="D136" s="42"/>
      <c r="E136" s="43"/>
      <c r="F136" s="43"/>
    </row>
    <row r="137" spans="2:6" ht="15.75" customHeight="1" x14ac:dyDescent="0.2">
      <c r="B137" s="44"/>
      <c r="C137" s="39"/>
      <c r="D137" s="45"/>
      <c r="E137" s="39"/>
      <c r="F137" s="39"/>
    </row>
    <row r="138" spans="2:6" ht="15.75" customHeight="1" x14ac:dyDescent="0.2">
      <c r="B138" s="41"/>
      <c r="C138" s="43"/>
      <c r="D138" s="42"/>
      <c r="E138" s="43"/>
      <c r="F138" s="43"/>
    </row>
    <row r="139" spans="2:6" ht="15.75" customHeight="1" x14ac:dyDescent="0.2">
      <c r="B139" s="44"/>
      <c r="C139" s="39"/>
      <c r="D139" s="45"/>
      <c r="E139" s="39"/>
      <c r="F139" s="39"/>
    </row>
    <row r="140" spans="2:6" ht="15.75" customHeight="1" x14ac:dyDescent="0.2">
      <c r="B140" s="41"/>
      <c r="C140" s="43"/>
      <c r="D140" s="42"/>
      <c r="E140" s="43"/>
      <c r="F140" s="43"/>
    </row>
    <row r="141" spans="2:6" ht="15.75" customHeight="1" x14ac:dyDescent="0.2">
      <c r="B141" s="44"/>
      <c r="C141" s="39"/>
      <c r="D141" s="45"/>
      <c r="E141" s="39"/>
      <c r="F141" s="39"/>
    </row>
    <row r="142" spans="2:6" ht="15.75" customHeight="1" x14ac:dyDescent="0.2">
      <c r="B142" s="41"/>
      <c r="C142" s="43"/>
      <c r="D142" s="42"/>
      <c r="E142" s="43"/>
      <c r="F142" s="43"/>
    </row>
    <row r="143" spans="2:6" ht="15.75" customHeight="1" x14ac:dyDescent="0.2">
      <c r="B143" s="44"/>
      <c r="C143" s="39"/>
      <c r="D143" s="45"/>
      <c r="E143" s="39"/>
      <c r="F143" s="39"/>
    </row>
    <row r="144" spans="2:6" ht="15.75" customHeight="1" x14ac:dyDescent="0.2">
      <c r="B144" s="41"/>
      <c r="C144" s="43"/>
      <c r="D144" s="42"/>
      <c r="E144" s="43"/>
      <c r="F144" s="43"/>
    </row>
    <row r="145" spans="2:6" ht="15.75" customHeight="1" x14ac:dyDescent="0.2">
      <c r="B145" s="44"/>
      <c r="C145" s="39"/>
      <c r="D145" s="45"/>
      <c r="E145" s="39"/>
      <c r="F145" s="39"/>
    </row>
    <row r="146" spans="2:6" ht="15.75" customHeight="1" x14ac:dyDescent="0.2">
      <c r="B146" s="41"/>
      <c r="C146" s="43"/>
      <c r="D146" s="42"/>
      <c r="E146" s="43"/>
      <c r="F146" s="43"/>
    </row>
    <row r="147" spans="2:6" ht="15.75" customHeight="1" x14ac:dyDescent="0.2">
      <c r="B147" s="44"/>
      <c r="C147" s="39"/>
      <c r="D147" s="45"/>
      <c r="E147" s="39"/>
      <c r="F147" s="39"/>
    </row>
    <row r="148" spans="2:6" ht="15.75" customHeight="1" x14ac:dyDescent="0.2">
      <c r="B148" s="41"/>
      <c r="C148" s="43"/>
      <c r="D148" s="42"/>
      <c r="E148" s="43"/>
      <c r="F148" s="43"/>
    </row>
    <row r="149" spans="2:6" ht="15.75" customHeight="1" x14ac:dyDescent="0.2">
      <c r="B149" s="44"/>
      <c r="C149" s="39"/>
      <c r="D149" s="45"/>
      <c r="E149" s="39"/>
      <c r="F149" s="39"/>
    </row>
    <row r="150" spans="2:6" ht="15.75" customHeight="1" x14ac:dyDescent="0.2">
      <c r="B150" s="41"/>
      <c r="C150" s="43"/>
      <c r="D150" s="42"/>
      <c r="E150" s="43"/>
      <c r="F150" s="43"/>
    </row>
    <row r="151" spans="2:6" ht="15.75" customHeight="1" x14ac:dyDescent="0.2">
      <c r="B151" s="44"/>
      <c r="C151" s="39"/>
      <c r="D151" s="45"/>
      <c r="E151" s="39"/>
      <c r="F151" s="39"/>
    </row>
    <row r="152" spans="2:6" ht="15.75" customHeight="1" x14ac:dyDescent="0.2">
      <c r="B152" s="41"/>
      <c r="C152" s="43"/>
      <c r="D152" s="42"/>
      <c r="E152" s="43"/>
      <c r="F152" s="43"/>
    </row>
    <row r="153" spans="2:6" ht="15.75" customHeight="1" x14ac:dyDescent="0.2">
      <c r="B153" s="44"/>
      <c r="C153" s="39"/>
      <c r="D153" s="45"/>
      <c r="E153" s="39"/>
      <c r="F153" s="39"/>
    </row>
    <row r="154" spans="2:6" ht="15.75" customHeight="1" x14ac:dyDescent="0.2">
      <c r="B154" s="41"/>
      <c r="C154" s="43"/>
      <c r="D154" s="42"/>
      <c r="E154" s="43"/>
      <c r="F154" s="43"/>
    </row>
    <row r="155" spans="2:6" ht="15.75" customHeight="1" x14ac:dyDescent="0.2">
      <c r="B155" s="44"/>
      <c r="C155" s="39"/>
      <c r="D155" s="45"/>
      <c r="E155" s="39"/>
      <c r="F155" s="39"/>
    </row>
    <row r="156" spans="2:6" ht="15.75" customHeight="1" x14ac:dyDescent="0.2">
      <c r="B156" s="41"/>
      <c r="C156" s="43"/>
      <c r="D156" s="42"/>
      <c r="E156" s="43"/>
      <c r="F156" s="43"/>
    </row>
    <row r="157" spans="2:6" ht="15.75" customHeight="1" x14ac:dyDescent="0.2">
      <c r="B157" s="44"/>
      <c r="C157" s="39"/>
      <c r="D157" s="45"/>
      <c r="E157" s="39"/>
      <c r="F157" s="39"/>
    </row>
    <row r="158" spans="2:6" ht="15.75" customHeight="1" x14ac:dyDescent="0.2">
      <c r="B158" s="41"/>
      <c r="C158" s="43"/>
      <c r="D158" s="42"/>
      <c r="E158" s="43"/>
      <c r="F158" s="43"/>
    </row>
    <row r="159" spans="2:6" ht="15.75" customHeight="1" x14ac:dyDescent="0.2">
      <c r="B159" s="44"/>
      <c r="C159" s="39"/>
      <c r="D159" s="45"/>
      <c r="E159" s="39"/>
      <c r="F159" s="39"/>
    </row>
    <row r="160" spans="2:6" ht="15.75" customHeight="1" x14ac:dyDescent="0.2">
      <c r="B160" s="41"/>
      <c r="C160" s="43"/>
      <c r="D160" s="42"/>
      <c r="E160" s="43"/>
      <c r="F160" s="43"/>
    </row>
    <row r="161" spans="2:6" ht="15.75" customHeight="1" x14ac:dyDescent="0.2">
      <c r="B161" s="44"/>
      <c r="C161" s="39"/>
      <c r="D161" s="45"/>
      <c r="E161" s="39"/>
      <c r="F161" s="39"/>
    </row>
    <row r="162" spans="2:6" ht="15.75" customHeight="1" x14ac:dyDescent="0.2">
      <c r="B162" s="41"/>
      <c r="C162" s="43"/>
      <c r="D162" s="42"/>
      <c r="E162" s="43"/>
      <c r="F162" s="43"/>
    </row>
    <row r="163" spans="2:6" ht="15.75" customHeight="1" x14ac:dyDescent="0.2">
      <c r="B163" s="44"/>
      <c r="C163" s="39"/>
      <c r="D163" s="45"/>
      <c r="E163" s="39"/>
      <c r="F163" s="39"/>
    </row>
    <row r="164" spans="2:6" ht="15.75" customHeight="1" x14ac:dyDescent="0.2">
      <c r="B164" s="41"/>
      <c r="C164" s="43"/>
      <c r="D164" s="42"/>
      <c r="E164" s="43"/>
      <c r="F164" s="43"/>
    </row>
    <row r="165" spans="2:6" ht="15.75" customHeight="1" x14ac:dyDescent="0.2">
      <c r="B165" s="44"/>
      <c r="C165" s="39"/>
      <c r="D165" s="45"/>
      <c r="E165" s="39"/>
      <c r="F165" s="39"/>
    </row>
    <row r="166" spans="2:6" ht="15.75" customHeight="1" x14ac:dyDescent="0.2">
      <c r="B166" s="41"/>
      <c r="C166" s="43"/>
      <c r="D166" s="42"/>
      <c r="E166" s="43"/>
      <c r="F166" s="43"/>
    </row>
    <row r="167" spans="2:6" ht="15.75" customHeight="1" x14ac:dyDescent="0.2">
      <c r="B167" s="44"/>
      <c r="C167" s="39"/>
      <c r="D167" s="45"/>
      <c r="E167" s="39"/>
      <c r="F167" s="39"/>
    </row>
    <row r="168" spans="2:6" ht="15.75" customHeight="1" x14ac:dyDescent="0.2">
      <c r="B168" s="41"/>
      <c r="C168" s="43"/>
      <c r="D168" s="42"/>
      <c r="E168" s="43"/>
      <c r="F168" s="43"/>
    </row>
    <row r="169" spans="2:6" ht="15.75" customHeight="1" x14ac:dyDescent="0.2">
      <c r="B169" s="44"/>
      <c r="C169" s="39"/>
      <c r="D169" s="45"/>
      <c r="E169" s="39"/>
      <c r="F169" s="39"/>
    </row>
    <row r="170" spans="2:6" ht="15.75" customHeight="1" x14ac:dyDescent="0.2">
      <c r="B170" s="41"/>
      <c r="C170" s="43"/>
      <c r="D170" s="42"/>
      <c r="E170" s="43"/>
      <c r="F170" s="43"/>
    </row>
    <row r="171" spans="2:6" ht="15.75" customHeight="1" x14ac:dyDescent="0.2">
      <c r="B171" s="44"/>
      <c r="C171" s="39"/>
      <c r="D171" s="45"/>
      <c r="E171" s="39"/>
      <c r="F171" s="39"/>
    </row>
    <row r="172" spans="2:6" ht="15.75" customHeight="1" x14ac:dyDescent="0.2">
      <c r="B172" s="41"/>
      <c r="C172" s="43"/>
      <c r="D172" s="42"/>
      <c r="E172" s="43"/>
      <c r="F172" s="43"/>
    </row>
    <row r="173" spans="2:6" ht="15.75" customHeight="1" x14ac:dyDescent="0.2">
      <c r="B173" s="44"/>
      <c r="C173" s="39"/>
      <c r="D173" s="45"/>
      <c r="E173" s="39"/>
      <c r="F173" s="39"/>
    </row>
    <row r="174" spans="2:6" ht="15.75" customHeight="1" x14ac:dyDescent="0.2">
      <c r="B174" s="41"/>
      <c r="C174" s="43"/>
      <c r="D174" s="42"/>
      <c r="E174" s="43"/>
      <c r="F174" s="43"/>
    </row>
    <row r="175" spans="2:6" ht="15.75" customHeight="1" x14ac:dyDescent="0.2">
      <c r="B175" s="44"/>
      <c r="C175" s="39"/>
      <c r="D175" s="45"/>
      <c r="E175" s="39"/>
      <c r="F175" s="39"/>
    </row>
    <row r="176" spans="2:6" ht="15.75" customHeight="1" x14ac:dyDescent="0.2">
      <c r="B176" s="41"/>
      <c r="C176" s="43"/>
      <c r="D176" s="42"/>
      <c r="E176" s="43"/>
      <c r="F176" s="43"/>
    </row>
    <row r="177" spans="2:6" ht="15.75" customHeight="1" x14ac:dyDescent="0.2">
      <c r="B177" s="44"/>
      <c r="C177" s="39"/>
      <c r="D177" s="45"/>
      <c r="E177" s="39"/>
      <c r="F177" s="39"/>
    </row>
    <row r="178" spans="2:6" ht="15.75" customHeight="1" x14ac:dyDescent="0.2">
      <c r="B178" s="41"/>
      <c r="C178" s="43"/>
      <c r="D178" s="42"/>
      <c r="E178" s="43"/>
      <c r="F178" s="43"/>
    </row>
    <row r="179" spans="2:6" ht="15.75" customHeight="1" x14ac:dyDescent="0.2">
      <c r="B179" s="44"/>
      <c r="C179" s="39"/>
      <c r="D179" s="45"/>
      <c r="E179" s="39"/>
      <c r="F179" s="39"/>
    </row>
    <row r="180" spans="2:6" ht="15.75" customHeight="1" x14ac:dyDescent="0.2">
      <c r="B180" s="41"/>
      <c r="C180" s="43"/>
      <c r="D180" s="42"/>
      <c r="E180" s="43"/>
      <c r="F180" s="43"/>
    </row>
    <row r="181" spans="2:6" ht="15.75" customHeight="1" x14ac:dyDescent="0.2">
      <c r="B181" s="44"/>
      <c r="C181" s="39"/>
      <c r="D181" s="45"/>
      <c r="E181" s="39"/>
      <c r="F181" s="39"/>
    </row>
    <row r="182" spans="2:6" ht="15.75" customHeight="1" x14ac:dyDescent="0.2">
      <c r="B182" s="41"/>
      <c r="C182" s="43"/>
      <c r="D182" s="42"/>
      <c r="E182" s="43"/>
      <c r="F182" s="43"/>
    </row>
    <row r="183" spans="2:6" ht="15.75" customHeight="1" x14ac:dyDescent="0.2">
      <c r="B183" s="44"/>
      <c r="C183" s="39"/>
      <c r="D183" s="45"/>
      <c r="E183" s="39"/>
      <c r="F183" s="39"/>
    </row>
    <row r="184" spans="2:6" ht="15.75" customHeight="1" x14ac:dyDescent="0.2">
      <c r="B184" s="41"/>
      <c r="C184" s="43"/>
      <c r="D184" s="42"/>
      <c r="E184" s="43"/>
      <c r="F184" s="43"/>
    </row>
    <row r="185" spans="2:6" ht="15.75" customHeight="1" x14ac:dyDescent="0.2">
      <c r="B185" s="44"/>
      <c r="C185" s="39"/>
      <c r="D185" s="45"/>
      <c r="E185" s="39"/>
      <c r="F185" s="39"/>
    </row>
    <row r="186" spans="2:6" ht="15.75" customHeight="1" x14ac:dyDescent="0.2">
      <c r="B186" s="41"/>
      <c r="C186" s="43"/>
      <c r="D186" s="42"/>
      <c r="E186" s="43"/>
      <c r="F186" s="43"/>
    </row>
    <row r="187" spans="2:6" ht="15.75" customHeight="1" x14ac:dyDescent="0.2">
      <c r="B187" s="44"/>
      <c r="C187" s="39"/>
      <c r="D187" s="45"/>
      <c r="E187" s="39"/>
      <c r="F187" s="39"/>
    </row>
    <row r="188" spans="2:6" ht="15.75" customHeight="1" x14ac:dyDescent="0.2">
      <c r="B188" s="41"/>
      <c r="C188" s="43"/>
      <c r="D188" s="42"/>
      <c r="E188" s="43"/>
      <c r="F188" s="43"/>
    </row>
    <row r="189" spans="2:6" ht="15.75" customHeight="1" x14ac:dyDescent="0.2">
      <c r="B189" s="44"/>
      <c r="C189" s="39"/>
      <c r="D189" s="45"/>
      <c r="E189" s="39"/>
      <c r="F189" s="39"/>
    </row>
    <row r="190" spans="2:6" ht="15.75" customHeight="1" x14ac:dyDescent="0.2">
      <c r="B190" s="41"/>
      <c r="C190" s="43"/>
      <c r="D190" s="42"/>
      <c r="E190" s="43"/>
      <c r="F190" s="43"/>
    </row>
    <row r="191" spans="2:6" ht="15.75" customHeight="1" x14ac:dyDescent="0.2">
      <c r="B191" s="44"/>
      <c r="C191" s="39"/>
      <c r="D191" s="45"/>
      <c r="E191" s="39"/>
      <c r="F191" s="39"/>
    </row>
    <row r="192" spans="2:6" ht="15.75" customHeight="1" x14ac:dyDescent="0.2">
      <c r="B192" s="41"/>
      <c r="C192" s="43"/>
      <c r="D192" s="42"/>
      <c r="E192" s="43"/>
      <c r="F192" s="43"/>
    </row>
    <row r="193" spans="2:6" ht="15.75" customHeight="1" x14ac:dyDescent="0.2">
      <c r="B193" s="44"/>
      <c r="C193" s="39"/>
      <c r="D193" s="45"/>
      <c r="E193" s="39"/>
      <c r="F193" s="39"/>
    </row>
    <row r="194" spans="2:6" ht="15.75" customHeight="1" x14ac:dyDescent="0.2">
      <c r="B194" s="41"/>
      <c r="C194" s="43"/>
      <c r="D194" s="42"/>
      <c r="E194" s="43"/>
      <c r="F194" s="43"/>
    </row>
    <row r="195" spans="2:6" ht="15.75" customHeight="1" x14ac:dyDescent="0.2">
      <c r="B195" s="44"/>
      <c r="C195" s="39"/>
      <c r="D195" s="45"/>
      <c r="E195" s="39"/>
      <c r="F195" s="39"/>
    </row>
    <row r="196" spans="2:6" ht="15.75" customHeight="1" x14ac:dyDescent="0.2">
      <c r="B196" s="41"/>
      <c r="C196" s="43"/>
      <c r="D196" s="42"/>
      <c r="E196" s="43"/>
      <c r="F196" s="43"/>
    </row>
    <row r="197" spans="2:6" ht="15.75" customHeight="1" x14ac:dyDescent="0.2">
      <c r="B197" s="44"/>
      <c r="C197" s="39"/>
      <c r="D197" s="45"/>
      <c r="E197" s="39"/>
      <c r="F197" s="39"/>
    </row>
    <row r="198" spans="2:6" ht="15.75" customHeight="1" x14ac:dyDescent="0.2">
      <c r="B198" s="41"/>
      <c r="C198" s="43"/>
      <c r="D198" s="42"/>
      <c r="E198" s="43"/>
      <c r="F198" s="43"/>
    </row>
    <row r="199" spans="2:6" ht="15.75" customHeight="1" x14ac:dyDescent="0.2">
      <c r="B199" s="63"/>
      <c r="D199" s="14"/>
      <c r="E199" s="63"/>
    </row>
    <row r="200" spans="2:6" ht="15.75" customHeight="1" x14ac:dyDescent="0.2">
      <c r="B200" s="63"/>
      <c r="D200" s="14"/>
      <c r="E200" s="63"/>
    </row>
    <row r="201" spans="2:6" ht="15.75" customHeight="1" x14ac:dyDescent="0.2">
      <c r="B201" s="63"/>
      <c r="D201" s="14"/>
      <c r="E201" s="63"/>
    </row>
    <row r="202" spans="2:6" ht="15.75" customHeight="1" x14ac:dyDescent="0.2">
      <c r="B202" s="63"/>
      <c r="D202" s="14"/>
      <c r="E202" s="63"/>
    </row>
    <row r="203" spans="2:6" ht="15.75" customHeight="1" x14ac:dyDescent="0.2">
      <c r="B203" s="63"/>
      <c r="D203" s="14"/>
      <c r="E203" s="63"/>
    </row>
    <row r="204" spans="2:6" ht="15.75" customHeight="1" x14ac:dyDescent="0.2">
      <c r="B204" s="63"/>
      <c r="D204" s="14"/>
      <c r="E204" s="63"/>
    </row>
    <row r="205" spans="2:6" ht="15.75" customHeight="1" x14ac:dyDescent="0.2">
      <c r="B205" s="63"/>
      <c r="D205" s="14"/>
      <c r="E205" s="63"/>
    </row>
    <row r="206" spans="2:6" ht="15.75" customHeight="1" x14ac:dyDescent="0.2">
      <c r="B206" s="63"/>
      <c r="D206" s="14"/>
      <c r="E206" s="63"/>
    </row>
    <row r="207" spans="2:6" ht="15.75" customHeight="1" x14ac:dyDescent="0.2">
      <c r="B207" s="63"/>
      <c r="D207" s="14"/>
      <c r="E207" s="63"/>
    </row>
    <row r="208" spans="2:6" ht="15.75" customHeight="1" x14ac:dyDescent="0.2">
      <c r="B208" s="63"/>
      <c r="D208" s="14"/>
      <c r="E208" s="63"/>
    </row>
    <row r="209" spans="2:5" ht="15.75" customHeight="1" x14ac:dyDescent="0.2">
      <c r="B209" s="63"/>
      <c r="D209" s="14"/>
      <c r="E209" s="63"/>
    </row>
    <row r="210" spans="2:5" ht="15.75" customHeight="1" x14ac:dyDescent="0.2">
      <c r="B210" s="63"/>
      <c r="D210" s="14"/>
      <c r="E210" s="63"/>
    </row>
    <row r="211" spans="2:5" ht="15.75" customHeight="1" x14ac:dyDescent="0.2">
      <c r="B211" s="63"/>
      <c r="D211" s="14"/>
      <c r="E211" s="63"/>
    </row>
    <row r="212" spans="2:5" ht="15.75" customHeight="1" x14ac:dyDescent="0.2">
      <c r="B212" s="63"/>
      <c r="D212" s="14"/>
      <c r="E212" s="63"/>
    </row>
    <row r="213" spans="2:5" ht="15.75" customHeight="1" x14ac:dyDescent="0.2">
      <c r="B213" s="63"/>
      <c r="D213" s="14"/>
      <c r="E213" s="63"/>
    </row>
    <row r="214" spans="2:5" ht="15.75" customHeight="1" x14ac:dyDescent="0.2">
      <c r="B214" s="63"/>
      <c r="D214" s="14"/>
      <c r="E214" s="63"/>
    </row>
    <row r="215" spans="2:5" ht="15.75" customHeight="1" x14ac:dyDescent="0.2">
      <c r="B215" s="63"/>
      <c r="D215" s="14"/>
      <c r="E215" s="63"/>
    </row>
    <row r="216" spans="2:5" ht="15.75" customHeight="1" x14ac:dyDescent="0.2">
      <c r="B216" s="63"/>
      <c r="D216" s="14"/>
      <c r="E216" s="63"/>
    </row>
    <row r="217" spans="2:5" ht="15.75" customHeight="1" x14ac:dyDescent="0.2">
      <c r="B217" s="63"/>
      <c r="D217" s="14"/>
      <c r="E217" s="63"/>
    </row>
    <row r="218" spans="2:5" ht="15.75" customHeight="1" x14ac:dyDescent="0.2">
      <c r="B218" s="63"/>
      <c r="D218" s="14"/>
      <c r="E218" s="63"/>
    </row>
    <row r="219" spans="2:5" ht="15.75" customHeight="1" x14ac:dyDescent="0.2">
      <c r="B219" s="63"/>
      <c r="D219" s="14"/>
      <c r="E219" s="63"/>
    </row>
    <row r="220" spans="2:5" ht="15.75" customHeight="1" x14ac:dyDescent="0.2">
      <c r="B220" s="63"/>
      <c r="D220" s="14"/>
      <c r="E220" s="63"/>
    </row>
    <row r="221" spans="2:5" ht="15.75" customHeight="1" x14ac:dyDescent="0.2">
      <c r="B221" s="63"/>
      <c r="D221" s="14"/>
      <c r="E221" s="63"/>
    </row>
    <row r="222" spans="2:5" ht="15.75" customHeight="1" x14ac:dyDescent="0.2">
      <c r="B222" s="63"/>
      <c r="D222" s="14"/>
      <c r="E222" s="63"/>
    </row>
    <row r="223" spans="2:5" ht="15.75" customHeight="1" x14ac:dyDescent="0.2">
      <c r="B223" s="63"/>
      <c r="D223" s="14"/>
      <c r="E223" s="63"/>
    </row>
    <row r="224" spans="2:5" ht="15.75" customHeight="1" x14ac:dyDescent="0.2">
      <c r="B224" s="63"/>
      <c r="D224" s="14"/>
      <c r="E224" s="63"/>
    </row>
    <row r="225" spans="2:5" ht="15.75" customHeight="1" x14ac:dyDescent="0.2">
      <c r="B225" s="63"/>
      <c r="D225" s="14"/>
      <c r="E225" s="63"/>
    </row>
    <row r="226" spans="2:5" ht="15.75" customHeight="1" x14ac:dyDescent="0.2">
      <c r="B226" s="63"/>
      <c r="D226" s="14"/>
      <c r="E226" s="63"/>
    </row>
    <row r="227" spans="2:5" ht="15.75" customHeight="1" x14ac:dyDescent="0.2">
      <c r="B227" s="63"/>
      <c r="D227" s="14"/>
      <c r="E227" s="63"/>
    </row>
    <row r="228" spans="2:5" ht="15.75" customHeight="1" x14ac:dyDescent="0.2">
      <c r="B228" s="63"/>
      <c r="D228" s="14"/>
      <c r="E228" s="63"/>
    </row>
    <row r="229" spans="2:5" ht="15.75" customHeight="1" x14ac:dyDescent="0.2">
      <c r="B229" s="63"/>
      <c r="D229" s="14"/>
      <c r="E229" s="63"/>
    </row>
    <row r="230" spans="2:5" ht="15.75" customHeight="1" x14ac:dyDescent="0.2">
      <c r="B230" s="63"/>
      <c r="D230" s="14"/>
      <c r="E230" s="63"/>
    </row>
    <row r="231" spans="2:5" ht="15.75" customHeight="1" x14ac:dyDescent="0.2">
      <c r="B231" s="63"/>
      <c r="D231" s="14"/>
      <c r="E231" s="63"/>
    </row>
    <row r="232" spans="2:5" ht="15.75" customHeight="1" x14ac:dyDescent="0.2">
      <c r="B232" s="63"/>
      <c r="D232" s="14"/>
      <c r="E232" s="63"/>
    </row>
    <row r="233" spans="2:5" ht="15.75" customHeight="1" x14ac:dyDescent="0.2">
      <c r="B233" s="63"/>
      <c r="D233" s="14"/>
      <c r="E233" s="63"/>
    </row>
    <row r="234" spans="2:5" ht="15.75" customHeight="1" x14ac:dyDescent="0.2">
      <c r="B234" s="63"/>
      <c r="D234" s="14"/>
      <c r="E234" s="63"/>
    </row>
    <row r="235" spans="2:5" ht="15.75" customHeight="1" x14ac:dyDescent="0.2">
      <c r="B235" s="63"/>
      <c r="D235" s="14"/>
      <c r="E235" s="63"/>
    </row>
    <row r="236" spans="2:5" ht="15.75" customHeight="1" x14ac:dyDescent="0.2">
      <c r="B236" s="63"/>
      <c r="D236" s="14"/>
      <c r="E236" s="63"/>
    </row>
    <row r="237" spans="2:5" ht="15.75" customHeight="1" x14ac:dyDescent="0.2">
      <c r="B237" s="63"/>
      <c r="D237" s="14"/>
      <c r="E237" s="63"/>
    </row>
    <row r="238" spans="2:5" ht="15.75" customHeight="1" x14ac:dyDescent="0.2">
      <c r="B238" s="63"/>
      <c r="D238" s="14"/>
      <c r="E238" s="63"/>
    </row>
    <row r="239" spans="2:5" ht="15.75" customHeight="1" x14ac:dyDescent="0.2">
      <c r="B239" s="63"/>
      <c r="D239" s="14"/>
      <c r="E239" s="63"/>
    </row>
    <row r="240" spans="2:5" ht="15.75" customHeight="1" x14ac:dyDescent="0.2">
      <c r="B240" s="63"/>
      <c r="D240" s="14"/>
      <c r="E240" s="63"/>
    </row>
    <row r="241" spans="2:5" ht="15.75" customHeight="1" x14ac:dyDescent="0.2">
      <c r="B241" s="63"/>
      <c r="D241" s="14"/>
      <c r="E241" s="63"/>
    </row>
    <row r="242" spans="2:5" ht="15.75" customHeight="1" x14ac:dyDescent="0.2">
      <c r="B242" s="63"/>
      <c r="D242" s="14"/>
      <c r="E242" s="63"/>
    </row>
    <row r="243" spans="2:5" ht="15.75" customHeight="1" x14ac:dyDescent="0.2">
      <c r="B243" s="63"/>
      <c r="D243" s="14"/>
      <c r="E243" s="63"/>
    </row>
    <row r="244" spans="2:5" ht="15.75" customHeight="1" x14ac:dyDescent="0.2">
      <c r="B244" s="63"/>
      <c r="D244" s="14"/>
      <c r="E244" s="63"/>
    </row>
    <row r="245" spans="2:5" ht="15.75" customHeight="1" x14ac:dyDescent="0.2">
      <c r="B245" s="63"/>
      <c r="D245" s="14"/>
      <c r="E245" s="63"/>
    </row>
    <row r="246" spans="2:5" ht="15.75" customHeight="1" x14ac:dyDescent="0.2">
      <c r="B246" s="63"/>
      <c r="D246" s="14"/>
      <c r="E246" s="63"/>
    </row>
    <row r="247" spans="2:5" ht="15.75" customHeight="1" x14ac:dyDescent="0.2">
      <c r="B247" s="63"/>
      <c r="D247" s="14"/>
      <c r="E247" s="63"/>
    </row>
    <row r="248" spans="2:5" ht="15.75" customHeight="1" x14ac:dyDescent="0.2">
      <c r="B248" s="63"/>
      <c r="D248" s="14"/>
      <c r="E248" s="63"/>
    </row>
    <row r="249" spans="2:5" ht="15.75" customHeight="1" x14ac:dyDescent="0.2">
      <c r="B249" s="63"/>
      <c r="D249" s="14"/>
      <c r="E249" s="63"/>
    </row>
    <row r="250" spans="2:5" ht="15.75" customHeight="1" x14ac:dyDescent="0.2">
      <c r="B250" s="63"/>
      <c r="D250" s="14"/>
      <c r="E250" s="63"/>
    </row>
    <row r="251" spans="2:5" ht="15.75" customHeight="1" x14ac:dyDescent="0.2">
      <c r="B251" s="63"/>
      <c r="D251" s="14"/>
      <c r="E251" s="63"/>
    </row>
    <row r="252" spans="2:5" ht="15.75" customHeight="1" x14ac:dyDescent="0.2">
      <c r="B252" s="63"/>
      <c r="D252" s="14"/>
      <c r="E252" s="63"/>
    </row>
    <row r="253" spans="2:5" ht="15.75" customHeight="1" x14ac:dyDescent="0.2">
      <c r="B253" s="63"/>
      <c r="D253" s="14"/>
      <c r="E253" s="63"/>
    </row>
    <row r="254" spans="2:5" ht="15.75" customHeight="1" x14ac:dyDescent="0.2">
      <c r="B254" s="63"/>
      <c r="D254" s="14"/>
      <c r="E254" s="63"/>
    </row>
    <row r="255" spans="2:5" ht="15.75" customHeight="1" x14ac:dyDescent="0.2">
      <c r="B255" s="63"/>
      <c r="D255" s="14"/>
      <c r="E255" s="63"/>
    </row>
    <row r="256" spans="2:5" ht="15.75" customHeight="1" x14ac:dyDescent="0.2">
      <c r="B256" s="63"/>
      <c r="D256" s="14"/>
      <c r="E256" s="63"/>
    </row>
    <row r="257" spans="2:5" ht="15.75" customHeight="1" x14ac:dyDescent="0.2">
      <c r="B257" s="63"/>
      <c r="D257" s="14"/>
      <c r="E257" s="63"/>
    </row>
    <row r="258" spans="2:5" ht="15.75" customHeight="1" x14ac:dyDescent="0.2">
      <c r="B258" s="63"/>
      <c r="D258" s="14"/>
      <c r="E258" s="63"/>
    </row>
    <row r="259" spans="2:5" ht="15.75" customHeight="1" x14ac:dyDescent="0.2">
      <c r="B259" s="63"/>
      <c r="D259" s="14"/>
      <c r="E259" s="63"/>
    </row>
    <row r="260" spans="2:5" ht="15.75" customHeight="1" x14ac:dyDescent="0.2">
      <c r="B260" s="63"/>
      <c r="D260" s="14"/>
      <c r="E260" s="63"/>
    </row>
    <row r="261" spans="2:5" ht="15.75" customHeight="1" x14ac:dyDescent="0.2">
      <c r="B261" s="63"/>
      <c r="D261" s="14"/>
      <c r="E261" s="63"/>
    </row>
    <row r="262" spans="2:5" ht="15.75" customHeight="1" x14ac:dyDescent="0.2">
      <c r="B262" s="63"/>
      <c r="D262" s="14"/>
      <c r="E262" s="63"/>
    </row>
    <row r="263" spans="2:5" ht="15.75" customHeight="1" x14ac:dyDescent="0.2">
      <c r="B263" s="63"/>
      <c r="D263" s="14"/>
      <c r="E263" s="63"/>
    </row>
    <row r="264" spans="2:5" ht="15.75" customHeight="1" x14ac:dyDescent="0.2">
      <c r="B264" s="63"/>
      <c r="D264" s="14"/>
      <c r="E264" s="63"/>
    </row>
    <row r="265" spans="2:5" ht="15.75" customHeight="1" x14ac:dyDescent="0.2">
      <c r="B265" s="63"/>
      <c r="D265" s="14"/>
      <c r="E265" s="63"/>
    </row>
    <row r="266" spans="2:5" ht="15.75" customHeight="1" x14ac:dyDescent="0.2">
      <c r="B266" s="63"/>
      <c r="D266" s="14"/>
      <c r="E266" s="63"/>
    </row>
    <row r="267" spans="2:5" ht="15.75" customHeight="1" x14ac:dyDescent="0.2">
      <c r="B267" s="63"/>
      <c r="D267" s="14"/>
      <c r="E267" s="63"/>
    </row>
    <row r="268" spans="2:5" ht="15.75" customHeight="1" x14ac:dyDescent="0.2">
      <c r="B268" s="63"/>
      <c r="D268" s="14"/>
      <c r="E268" s="63"/>
    </row>
    <row r="269" spans="2:5" ht="15.75" customHeight="1" x14ac:dyDescent="0.2">
      <c r="B269" s="63"/>
      <c r="D269" s="14"/>
      <c r="E269" s="63"/>
    </row>
    <row r="270" spans="2:5" ht="15.75" customHeight="1" x14ac:dyDescent="0.2">
      <c r="B270" s="63"/>
      <c r="D270" s="14"/>
      <c r="E270" s="63"/>
    </row>
    <row r="271" spans="2:5" ht="15.75" customHeight="1" x14ac:dyDescent="0.2">
      <c r="B271" s="63"/>
      <c r="D271" s="14"/>
      <c r="E271" s="63"/>
    </row>
    <row r="272" spans="2:5" ht="15.75" customHeight="1" x14ac:dyDescent="0.2">
      <c r="B272" s="63"/>
      <c r="D272" s="14"/>
      <c r="E272" s="63"/>
    </row>
    <row r="273" spans="2:5" ht="15.75" customHeight="1" x14ac:dyDescent="0.2">
      <c r="B273" s="63"/>
      <c r="D273" s="14"/>
      <c r="E273" s="63"/>
    </row>
    <row r="274" spans="2:5" ht="15.75" customHeight="1" x14ac:dyDescent="0.2">
      <c r="B274" s="63"/>
      <c r="D274" s="14"/>
      <c r="E274" s="63"/>
    </row>
    <row r="275" spans="2:5" ht="15.75" customHeight="1" x14ac:dyDescent="0.2">
      <c r="B275" s="63"/>
      <c r="D275" s="14"/>
      <c r="E275" s="63"/>
    </row>
    <row r="276" spans="2:5" ht="15.75" customHeight="1" x14ac:dyDescent="0.2">
      <c r="B276" s="63"/>
      <c r="D276" s="14"/>
      <c r="E276" s="63"/>
    </row>
    <row r="277" spans="2:5" ht="15.75" customHeight="1" x14ac:dyDescent="0.2">
      <c r="B277" s="63"/>
      <c r="D277" s="14"/>
      <c r="E277" s="63"/>
    </row>
    <row r="278" spans="2:5" ht="15.75" customHeight="1" x14ac:dyDescent="0.2">
      <c r="B278" s="63"/>
      <c r="D278" s="14"/>
      <c r="E278" s="63"/>
    </row>
    <row r="279" spans="2:5" ht="15.75" customHeight="1" x14ac:dyDescent="0.2">
      <c r="B279" s="63"/>
      <c r="D279" s="14"/>
      <c r="E279" s="63"/>
    </row>
    <row r="280" spans="2:5" ht="15.75" customHeight="1" x14ac:dyDescent="0.2">
      <c r="B280" s="63"/>
      <c r="D280" s="14"/>
      <c r="E280" s="63"/>
    </row>
    <row r="281" spans="2:5" ht="15.75" customHeight="1" x14ac:dyDescent="0.2">
      <c r="B281" s="63"/>
      <c r="D281" s="14"/>
      <c r="E281" s="63"/>
    </row>
    <row r="282" spans="2:5" ht="15.75" customHeight="1" x14ac:dyDescent="0.2">
      <c r="B282" s="63"/>
      <c r="D282" s="14"/>
      <c r="E282" s="63"/>
    </row>
    <row r="283" spans="2:5" ht="15.75" customHeight="1" x14ac:dyDescent="0.2">
      <c r="B283" s="63"/>
      <c r="D283" s="14"/>
      <c r="E283" s="63"/>
    </row>
    <row r="284" spans="2:5" ht="15.75" customHeight="1" x14ac:dyDescent="0.2">
      <c r="B284" s="63"/>
      <c r="D284" s="14"/>
      <c r="E284" s="63"/>
    </row>
    <row r="285" spans="2:5" ht="15.75" customHeight="1" x14ac:dyDescent="0.2">
      <c r="B285" s="63"/>
      <c r="D285" s="14"/>
      <c r="E285" s="63"/>
    </row>
    <row r="286" spans="2:5" ht="15.75" customHeight="1" x14ac:dyDescent="0.2">
      <c r="B286" s="63"/>
      <c r="D286" s="14"/>
      <c r="E286" s="63"/>
    </row>
    <row r="287" spans="2:5" ht="15.75" customHeight="1" x14ac:dyDescent="0.2">
      <c r="B287" s="63"/>
      <c r="D287" s="14"/>
      <c r="E287" s="63"/>
    </row>
    <row r="288" spans="2:5" ht="15.75" customHeight="1" x14ac:dyDescent="0.2">
      <c r="B288" s="63"/>
      <c r="D288" s="14"/>
      <c r="E288" s="63"/>
    </row>
    <row r="289" spans="2:5" ht="15.75" customHeight="1" x14ac:dyDescent="0.2">
      <c r="B289" s="63"/>
      <c r="D289" s="14"/>
      <c r="E289" s="63"/>
    </row>
    <row r="290" spans="2:5" ht="15.75" customHeight="1" x14ac:dyDescent="0.2">
      <c r="B290" s="63"/>
      <c r="D290" s="14"/>
      <c r="E290" s="63"/>
    </row>
    <row r="291" spans="2:5" ht="15.75" customHeight="1" x14ac:dyDescent="0.2">
      <c r="B291" s="63"/>
      <c r="D291" s="14"/>
      <c r="E291" s="63"/>
    </row>
    <row r="292" spans="2:5" ht="15.75" customHeight="1" x14ac:dyDescent="0.2">
      <c r="B292" s="63"/>
      <c r="D292" s="14"/>
      <c r="E292" s="63"/>
    </row>
    <row r="293" spans="2:5" ht="15.75" customHeight="1" x14ac:dyDescent="0.2">
      <c r="B293" s="63"/>
      <c r="D293" s="14"/>
      <c r="E293" s="63"/>
    </row>
    <row r="294" spans="2:5" ht="15.75" customHeight="1" x14ac:dyDescent="0.2">
      <c r="B294" s="63"/>
      <c r="D294" s="14"/>
      <c r="E294" s="63"/>
    </row>
    <row r="295" spans="2:5" ht="15.75" customHeight="1" x14ac:dyDescent="0.2">
      <c r="B295" s="63"/>
      <c r="D295" s="14"/>
      <c r="E295" s="63"/>
    </row>
    <row r="296" spans="2:5" ht="15.75" customHeight="1" x14ac:dyDescent="0.2">
      <c r="B296" s="63"/>
      <c r="D296" s="14"/>
      <c r="E296" s="63"/>
    </row>
    <row r="297" spans="2:5" ht="15.75" customHeight="1" x14ac:dyDescent="0.2">
      <c r="B297" s="63"/>
      <c r="D297" s="14"/>
      <c r="E297" s="63"/>
    </row>
    <row r="298" spans="2:5" ht="15.75" customHeight="1" x14ac:dyDescent="0.2">
      <c r="B298" s="63"/>
      <c r="D298" s="14"/>
      <c r="E298" s="63"/>
    </row>
    <row r="299" spans="2:5" ht="15.75" customHeight="1" x14ac:dyDescent="0.2">
      <c r="B299" s="63"/>
      <c r="D299" s="14"/>
      <c r="E299" s="63"/>
    </row>
    <row r="300" spans="2:5" ht="15.75" customHeight="1" x14ac:dyDescent="0.2">
      <c r="B300" s="63"/>
      <c r="D300" s="14"/>
      <c r="E300" s="63"/>
    </row>
    <row r="301" spans="2:5" ht="15.75" customHeight="1" x14ac:dyDescent="0.2">
      <c r="B301" s="63"/>
      <c r="D301" s="14"/>
      <c r="E301" s="63"/>
    </row>
    <row r="302" spans="2:5" ht="15.75" customHeight="1" x14ac:dyDescent="0.2">
      <c r="B302" s="63"/>
      <c r="D302" s="14"/>
      <c r="E302" s="63"/>
    </row>
    <row r="303" spans="2:5" ht="15.75" customHeight="1" x14ac:dyDescent="0.2">
      <c r="B303" s="63"/>
      <c r="D303" s="14"/>
      <c r="E303" s="63"/>
    </row>
    <row r="304" spans="2:5" ht="15.75" customHeight="1" x14ac:dyDescent="0.2">
      <c r="B304" s="63"/>
      <c r="D304" s="14"/>
      <c r="E304" s="63"/>
    </row>
    <row r="305" spans="2:5" ht="15.75" customHeight="1" x14ac:dyDescent="0.2">
      <c r="B305" s="63"/>
      <c r="D305" s="14"/>
      <c r="E305" s="63"/>
    </row>
    <row r="306" spans="2:5" ht="15.75" customHeight="1" x14ac:dyDescent="0.2">
      <c r="B306" s="63"/>
      <c r="D306" s="14"/>
      <c r="E306" s="63"/>
    </row>
    <row r="307" spans="2:5" ht="15.75" customHeight="1" x14ac:dyDescent="0.2">
      <c r="B307" s="63"/>
      <c r="D307" s="14"/>
      <c r="E307" s="63"/>
    </row>
    <row r="308" spans="2:5" ht="15.75" customHeight="1" x14ac:dyDescent="0.2">
      <c r="B308" s="63"/>
      <c r="D308" s="14"/>
      <c r="E308" s="63"/>
    </row>
    <row r="309" spans="2:5" ht="15.75" customHeight="1" x14ac:dyDescent="0.2">
      <c r="B309" s="63"/>
      <c r="D309" s="14"/>
      <c r="E309" s="63"/>
    </row>
    <row r="310" spans="2:5" ht="15.75" customHeight="1" x14ac:dyDescent="0.2">
      <c r="B310" s="63"/>
      <c r="D310" s="14"/>
      <c r="E310" s="63"/>
    </row>
    <row r="311" spans="2:5" ht="15.75" customHeight="1" x14ac:dyDescent="0.2">
      <c r="B311" s="63"/>
      <c r="D311" s="14"/>
      <c r="E311" s="63"/>
    </row>
    <row r="312" spans="2:5" ht="15.75" customHeight="1" x14ac:dyDescent="0.2">
      <c r="B312" s="63"/>
      <c r="D312" s="14"/>
      <c r="E312" s="63"/>
    </row>
    <row r="313" spans="2:5" ht="15.75" customHeight="1" x14ac:dyDescent="0.2">
      <c r="B313" s="63"/>
      <c r="D313" s="14"/>
      <c r="E313" s="63"/>
    </row>
    <row r="314" spans="2:5" ht="15.75" customHeight="1" x14ac:dyDescent="0.2">
      <c r="B314" s="63"/>
      <c r="D314" s="14"/>
      <c r="E314" s="63"/>
    </row>
    <row r="315" spans="2:5" ht="15.75" customHeight="1" x14ac:dyDescent="0.2">
      <c r="B315" s="63"/>
      <c r="D315" s="14"/>
      <c r="E315" s="63"/>
    </row>
    <row r="316" spans="2:5" ht="15.75" customHeight="1" x14ac:dyDescent="0.2">
      <c r="B316" s="63"/>
      <c r="D316" s="14"/>
      <c r="E316" s="63"/>
    </row>
    <row r="317" spans="2:5" ht="15.75" customHeight="1" x14ac:dyDescent="0.2">
      <c r="B317" s="63"/>
      <c r="D317" s="14"/>
      <c r="E317" s="63"/>
    </row>
    <row r="318" spans="2:5" ht="15.75" customHeight="1" x14ac:dyDescent="0.2">
      <c r="B318" s="63"/>
      <c r="D318" s="14"/>
      <c r="E318" s="63"/>
    </row>
    <row r="319" spans="2:5" ht="15.75" customHeight="1" x14ac:dyDescent="0.2">
      <c r="B319" s="63"/>
      <c r="D319" s="14"/>
      <c r="E319" s="63"/>
    </row>
    <row r="320" spans="2:5" ht="15.75" customHeight="1" x14ac:dyDescent="0.2">
      <c r="B320" s="63"/>
      <c r="D320" s="14"/>
      <c r="E320" s="63"/>
    </row>
    <row r="321" spans="2:5" ht="15.75" customHeight="1" x14ac:dyDescent="0.2">
      <c r="B321" s="63"/>
      <c r="D321" s="14"/>
      <c r="E321" s="63"/>
    </row>
    <row r="322" spans="2:5" ht="15.75" customHeight="1" x14ac:dyDescent="0.2">
      <c r="B322" s="63"/>
      <c r="D322" s="14"/>
      <c r="E322" s="63"/>
    </row>
    <row r="323" spans="2:5" ht="15.75" customHeight="1" x14ac:dyDescent="0.2">
      <c r="B323" s="63"/>
      <c r="D323" s="14"/>
      <c r="E323" s="63"/>
    </row>
    <row r="324" spans="2:5" ht="15.75" customHeight="1" x14ac:dyDescent="0.2">
      <c r="B324" s="63"/>
      <c r="D324" s="14"/>
      <c r="E324" s="63"/>
    </row>
    <row r="325" spans="2:5" ht="15.75" customHeight="1" x14ac:dyDescent="0.2">
      <c r="B325" s="63"/>
      <c r="D325" s="14"/>
      <c r="E325" s="63"/>
    </row>
    <row r="326" spans="2:5" ht="15.75" customHeight="1" x14ac:dyDescent="0.2">
      <c r="B326" s="63"/>
      <c r="D326" s="14"/>
      <c r="E326" s="63"/>
    </row>
    <row r="327" spans="2:5" ht="15.75" customHeight="1" x14ac:dyDescent="0.2">
      <c r="B327" s="63"/>
      <c r="D327" s="14"/>
      <c r="E327" s="63"/>
    </row>
    <row r="328" spans="2:5" ht="15.75" customHeight="1" x14ac:dyDescent="0.2">
      <c r="B328" s="63"/>
      <c r="D328" s="14"/>
      <c r="E328" s="63"/>
    </row>
    <row r="329" spans="2:5" ht="15.75" customHeight="1" x14ac:dyDescent="0.2">
      <c r="B329" s="63"/>
      <c r="D329" s="14"/>
      <c r="E329" s="63"/>
    </row>
    <row r="330" spans="2:5" ht="15.75" customHeight="1" x14ac:dyDescent="0.2">
      <c r="B330" s="63"/>
      <c r="D330" s="14"/>
      <c r="E330" s="63"/>
    </row>
    <row r="331" spans="2:5" ht="15.75" customHeight="1" x14ac:dyDescent="0.2">
      <c r="B331" s="63"/>
      <c r="D331" s="14"/>
      <c r="E331" s="63"/>
    </row>
    <row r="332" spans="2:5" ht="15.75" customHeight="1" x14ac:dyDescent="0.2">
      <c r="B332" s="63"/>
      <c r="D332" s="14"/>
      <c r="E332" s="63"/>
    </row>
    <row r="333" spans="2:5" ht="15.75" customHeight="1" x14ac:dyDescent="0.2">
      <c r="B333" s="63"/>
      <c r="D333" s="14"/>
      <c r="E333" s="63"/>
    </row>
    <row r="334" spans="2:5" ht="15.75" customHeight="1" x14ac:dyDescent="0.2">
      <c r="B334" s="63"/>
      <c r="D334" s="14"/>
      <c r="E334" s="63"/>
    </row>
    <row r="335" spans="2:5" ht="15.75" customHeight="1" x14ac:dyDescent="0.2">
      <c r="B335" s="63"/>
      <c r="D335" s="14"/>
      <c r="E335" s="63"/>
    </row>
    <row r="336" spans="2:5" ht="15.75" customHeight="1" x14ac:dyDescent="0.2">
      <c r="B336" s="63"/>
      <c r="D336" s="14"/>
      <c r="E336" s="63"/>
    </row>
    <row r="337" spans="2:5" ht="15.75" customHeight="1" x14ac:dyDescent="0.2">
      <c r="B337" s="63"/>
      <c r="D337" s="14"/>
      <c r="E337" s="63"/>
    </row>
    <row r="338" spans="2:5" ht="15.75" customHeight="1" x14ac:dyDescent="0.2">
      <c r="B338" s="63"/>
      <c r="D338" s="14"/>
      <c r="E338" s="63"/>
    </row>
    <row r="339" spans="2:5" ht="15.75" customHeight="1" x14ac:dyDescent="0.2">
      <c r="B339" s="63"/>
      <c r="D339" s="14"/>
      <c r="E339" s="63"/>
    </row>
    <row r="340" spans="2:5" ht="15.75" customHeight="1" x14ac:dyDescent="0.2">
      <c r="B340" s="63"/>
      <c r="D340" s="14"/>
      <c r="E340" s="63"/>
    </row>
    <row r="341" spans="2:5" ht="15.75" customHeight="1" x14ac:dyDescent="0.2">
      <c r="B341" s="63"/>
      <c r="D341" s="14"/>
      <c r="E341" s="63"/>
    </row>
    <row r="342" spans="2:5" ht="15.75" customHeight="1" x14ac:dyDescent="0.2">
      <c r="B342" s="63"/>
      <c r="D342" s="14"/>
      <c r="E342" s="63"/>
    </row>
    <row r="343" spans="2:5" ht="15.75" customHeight="1" x14ac:dyDescent="0.2">
      <c r="B343" s="63"/>
      <c r="D343" s="14"/>
      <c r="E343" s="63"/>
    </row>
    <row r="344" spans="2:5" ht="15.75" customHeight="1" x14ac:dyDescent="0.2">
      <c r="B344" s="63"/>
      <c r="D344" s="14"/>
      <c r="E344" s="63"/>
    </row>
    <row r="345" spans="2:5" ht="15.75" customHeight="1" x14ac:dyDescent="0.2">
      <c r="B345" s="63"/>
      <c r="D345" s="14"/>
      <c r="E345" s="63"/>
    </row>
    <row r="346" spans="2:5" ht="15.75" customHeight="1" x14ac:dyDescent="0.2">
      <c r="B346" s="63"/>
      <c r="D346" s="14"/>
      <c r="E346" s="63"/>
    </row>
    <row r="347" spans="2:5" ht="15.75" customHeight="1" x14ac:dyDescent="0.2">
      <c r="B347" s="63"/>
      <c r="D347" s="14"/>
      <c r="E347" s="63"/>
    </row>
    <row r="348" spans="2:5" ht="15.75" customHeight="1" x14ac:dyDescent="0.2">
      <c r="B348" s="63"/>
      <c r="D348" s="14"/>
      <c r="E348" s="63"/>
    </row>
    <row r="349" spans="2:5" ht="15.75" customHeight="1" x14ac:dyDescent="0.2">
      <c r="B349" s="63"/>
      <c r="D349" s="14"/>
      <c r="E349" s="63"/>
    </row>
    <row r="350" spans="2:5" ht="15.75" customHeight="1" x14ac:dyDescent="0.2">
      <c r="B350" s="63"/>
      <c r="D350" s="14"/>
      <c r="E350" s="63"/>
    </row>
    <row r="351" spans="2:5" ht="15.75" customHeight="1" x14ac:dyDescent="0.2">
      <c r="B351" s="63"/>
      <c r="D351" s="14"/>
      <c r="E351" s="63"/>
    </row>
    <row r="352" spans="2:5" ht="15.75" customHeight="1" x14ac:dyDescent="0.2">
      <c r="B352" s="63"/>
      <c r="D352" s="14"/>
      <c r="E352" s="63"/>
    </row>
    <row r="353" spans="2:5" ht="15.75" customHeight="1" x14ac:dyDescent="0.2">
      <c r="B353" s="63"/>
      <c r="D353" s="14"/>
      <c r="E353" s="63"/>
    </row>
    <row r="354" spans="2:5" ht="15.75" customHeight="1" x14ac:dyDescent="0.2">
      <c r="B354" s="63"/>
      <c r="D354" s="14"/>
      <c r="E354" s="63"/>
    </row>
    <row r="355" spans="2:5" ht="15.75" customHeight="1" x14ac:dyDescent="0.2">
      <c r="B355" s="63"/>
      <c r="D355" s="14"/>
      <c r="E355" s="63"/>
    </row>
    <row r="356" spans="2:5" ht="15.75" customHeight="1" x14ac:dyDescent="0.2">
      <c r="B356" s="63"/>
      <c r="D356" s="14"/>
      <c r="E356" s="63"/>
    </row>
    <row r="357" spans="2:5" ht="15.75" customHeight="1" x14ac:dyDescent="0.2">
      <c r="B357" s="63"/>
      <c r="D357" s="14"/>
      <c r="E357" s="63"/>
    </row>
    <row r="358" spans="2:5" ht="15.75" customHeight="1" x14ac:dyDescent="0.2">
      <c r="B358" s="63"/>
      <c r="D358" s="14"/>
      <c r="E358" s="63"/>
    </row>
    <row r="359" spans="2:5" ht="15.75" customHeight="1" x14ac:dyDescent="0.2">
      <c r="B359" s="63"/>
      <c r="D359" s="14"/>
      <c r="E359" s="63"/>
    </row>
    <row r="360" spans="2:5" ht="15.75" customHeight="1" x14ac:dyDescent="0.2">
      <c r="B360" s="63"/>
      <c r="D360" s="14"/>
      <c r="E360" s="63"/>
    </row>
    <row r="361" spans="2:5" ht="15.75" customHeight="1" x14ac:dyDescent="0.2">
      <c r="B361" s="63"/>
      <c r="D361" s="14"/>
      <c r="E361" s="63"/>
    </row>
    <row r="362" spans="2:5" ht="15.75" customHeight="1" x14ac:dyDescent="0.2">
      <c r="B362" s="63"/>
      <c r="D362" s="14"/>
      <c r="E362" s="63"/>
    </row>
    <row r="363" spans="2:5" ht="15.75" customHeight="1" x14ac:dyDescent="0.2">
      <c r="B363" s="63"/>
      <c r="D363" s="14"/>
      <c r="E363" s="63"/>
    </row>
    <row r="364" spans="2:5" ht="15.75" customHeight="1" x14ac:dyDescent="0.2">
      <c r="B364" s="63"/>
      <c r="D364" s="14"/>
      <c r="E364" s="63"/>
    </row>
    <row r="365" spans="2:5" ht="15.75" customHeight="1" x14ac:dyDescent="0.2">
      <c r="B365" s="63"/>
      <c r="D365" s="14"/>
      <c r="E365" s="63"/>
    </row>
    <row r="366" spans="2:5" ht="15.75" customHeight="1" x14ac:dyDescent="0.2">
      <c r="B366" s="63"/>
      <c r="D366" s="14"/>
      <c r="E366" s="63"/>
    </row>
    <row r="367" spans="2:5" ht="15.75" customHeight="1" x14ac:dyDescent="0.2">
      <c r="B367" s="63"/>
      <c r="D367" s="14"/>
      <c r="E367" s="63"/>
    </row>
    <row r="368" spans="2:5" ht="15.75" customHeight="1" x14ac:dyDescent="0.2">
      <c r="B368" s="63"/>
      <c r="D368" s="14"/>
      <c r="E368" s="63"/>
    </row>
    <row r="369" spans="2:5" ht="15.75" customHeight="1" x14ac:dyDescent="0.2">
      <c r="B369" s="63"/>
      <c r="D369" s="14"/>
      <c r="E369" s="63"/>
    </row>
    <row r="370" spans="2:5" ht="15.75" customHeight="1" x14ac:dyDescent="0.2">
      <c r="B370" s="63"/>
      <c r="D370" s="14"/>
      <c r="E370" s="63"/>
    </row>
    <row r="371" spans="2:5" ht="15.75" customHeight="1" x14ac:dyDescent="0.2">
      <c r="B371" s="63"/>
      <c r="D371" s="14"/>
      <c r="E371" s="63"/>
    </row>
    <row r="372" spans="2:5" ht="15.75" customHeight="1" x14ac:dyDescent="0.2">
      <c r="B372" s="63"/>
      <c r="D372" s="14"/>
      <c r="E372" s="63"/>
    </row>
    <row r="373" spans="2:5" ht="15.75" customHeight="1" x14ac:dyDescent="0.2">
      <c r="B373" s="63"/>
      <c r="D373" s="14"/>
      <c r="E373" s="63"/>
    </row>
    <row r="374" spans="2:5" ht="15.75" customHeight="1" x14ac:dyDescent="0.2">
      <c r="B374" s="63"/>
      <c r="D374" s="14"/>
      <c r="E374" s="63"/>
    </row>
    <row r="375" spans="2:5" ht="15.75" customHeight="1" x14ac:dyDescent="0.2">
      <c r="B375" s="63"/>
      <c r="D375" s="14"/>
      <c r="E375" s="63"/>
    </row>
    <row r="376" spans="2:5" ht="15.75" customHeight="1" x14ac:dyDescent="0.2">
      <c r="B376" s="63"/>
      <c r="D376" s="14"/>
      <c r="E376" s="63"/>
    </row>
    <row r="377" spans="2:5" ht="15.75" customHeight="1" x14ac:dyDescent="0.2">
      <c r="B377" s="63"/>
      <c r="D377" s="14"/>
      <c r="E377" s="63"/>
    </row>
    <row r="378" spans="2:5" ht="15.75" customHeight="1" x14ac:dyDescent="0.2">
      <c r="B378" s="63"/>
      <c r="D378" s="14"/>
      <c r="E378" s="63"/>
    </row>
    <row r="379" spans="2:5" ht="15.75" customHeight="1" x14ac:dyDescent="0.2">
      <c r="B379" s="63"/>
      <c r="D379" s="14"/>
      <c r="E379" s="63"/>
    </row>
    <row r="380" spans="2:5" ht="15.75" customHeight="1" x14ac:dyDescent="0.2">
      <c r="B380" s="63"/>
      <c r="D380" s="14"/>
      <c r="E380" s="63"/>
    </row>
    <row r="381" spans="2:5" ht="15.75" customHeight="1" x14ac:dyDescent="0.2">
      <c r="B381" s="63"/>
      <c r="D381" s="14"/>
      <c r="E381" s="63"/>
    </row>
    <row r="382" spans="2:5" ht="15.75" customHeight="1" x14ac:dyDescent="0.2">
      <c r="B382" s="63"/>
      <c r="D382" s="14"/>
      <c r="E382" s="63"/>
    </row>
    <row r="383" spans="2:5" ht="15.75" customHeight="1" x14ac:dyDescent="0.2">
      <c r="B383" s="63"/>
      <c r="D383" s="14"/>
      <c r="E383" s="63"/>
    </row>
    <row r="384" spans="2:5" ht="15.75" customHeight="1" x14ac:dyDescent="0.2">
      <c r="B384" s="63"/>
      <c r="D384" s="14"/>
      <c r="E384" s="63"/>
    </row>
    <row r="385" spans="2:5" ht="15.75" customHeight="1" x14ac:dyDescent="0.2">
      <c r="B385" s="63"/>
      <c r="D385" s="14"/>
      <c r="E385" s="63"/>
    </row>
    <row r="386" spans="2:5" ht="15.75" customHeight="1" x14ac:dyDescent="0.2">
      <c r="B386" s="63"/>
      <c r="D386" s="14"/>
      <c r="E386" s="63"/>
    </row>
    <row r="387" spans="2:5" ht="15.75" customHeight="1" x14ac:dyDescent="0.2">
      <c r="B387" s="63"/>
      <c r="D387" s="14"/>
      <c r="E387" s="63"/>
    </row>
    <row r="388" spans="2:5" ht="15.75" customHeight="1" x14ac:dyDescent="0.2">
      <c r="B388" s="63"/>
      <c r="D388" s="14"/>
      <c r="E388" s="63"/>
    </row>
    <row r="389" spans="2:5" ht="15.75" customHeight="1" x14ac:dyDescent="0.2">
      <c r="B389" s="63"/>
      <c r="D389" s="14"/>
      <c r="E389" s="63"/>
    </row>
    <row r="390" spans="2:5" ht="15.75" customHeight="1" x14ac:dyDescent="0.2">
      <c r="B390" s="63"/>
      <c r="D390" s="14"/>
      <c r="E390" s="63"/>
    </row>
    <row r="391" spans="2:5" ht="15.75" customHeight="1" x14ac:dyDescent="0.2">
      <c r="B391" s="63"/>
      <c r="D391" s="14"/>
      <c r="E391" s="63"/>
    </row>
    <row r="392" spans="2:5" ht="15.75" customHeight="1" x14ac:dyDescent="0.2">
      <c r="B392" s="63"/>
      <c r="D392" s="14"/>
      <c r="E392" s="63"/>
    </row>
    <row r="393" spans="2:5" ht="15.75" customHeight="1" x14ac:dyDescent="0.2">
      <c r="B393" s="63"/>
      <c r="D393" s="14"/>
      <c r="E393" s="63"/>
    </row>
    <row r="394" spans="2:5" ht="15.75" customHeight="1" x14ac:dyDescent="0.2">
      <c r="B394" s="63"/>
      <c r="D394" s="14"/>
      <c r="E394" s="63"/>
    </row>
    <row r="395" spans="2:5" ht="15.75" customHeight="1" x14ac:dyDescent="0.2">
      <c r="B395" s="63"/>
      <c r="D395" s="14"/>
      <c r="E395" s="63"/>
    </row>
    <row r="396" spans="2:5" ht="15.75" customHeight="1" x14ac:dyDescent="0.2">
      <c r="B396" s="63"/>
      <c r="D396" s="14"/>
      <c r="E396" s="63"/>
    </row>
    <row r="397" spans="2:5" ht="15.75" customHeight="1" x14ac:dyDescent="0.2">
      <c r="B397" s="63"/>
      <c r="D397" s="14"/>
      <c r="E397" s="63"/>
    </row>
    <row r="398" spans="2:5" ht="15.75" customHeight="1" x14ac:dyDescent="0.2">
      <c r="B398" s="63"/>
      <c r="D398" s="14"/>
      <c r="E398" s="63"/>
    </row>
    <row r="399" spans="2:5" ht="15.75" customHeight="1" x14ac:dyDescent="0.2">
      <c r="B399" s="63"/>
      <c r="D399" s="14"/>
      <c r="E399" s="63"/>
    </row>
    <row r="400" spans="2:5" ht="15.75" customHeight="1" x14ac:dyDescent="0.2">
      <c r="B400" s="63"/>
      <c r="D400" s="14"/>
      <c r="E400" s="63"/>
    </row>
    <row r="401" spans="2:5" ht="15.75" customHeight="1" x14ac:dyDescent="0.2">
      <c r="B401" s="63"/>
      <c r="D401" s="14"/>
      <c r="E401" s="63"/>
    </row>
    <row r="402" spans="2:5" ht="15.75" customHeight="1" x14ac:dyDescent="0.2">
      <c r="B402" s="63"/>
      <c r="D402" s="14"/>
      <c r="E402" s="63"/>
    </row>
    <row r="403" spans="2:5" ht="15.75" customHeight="1" x14ac:dyDescent="0.2">
      <c r="B403" s="63"/>
      <c r="D403" s="14"/>
      <c r="E403" s="63"/>
    </row>
    <row r="404" spans="2:5" ht="15.75" customHeight="1" x14ac:dyDescent="0.2">
      <c r="B404" s="63"/>
      <c r="D404" s="14"/>
      <c r="E404" s="63"/>
    </row>
    <row r="405" spans="2:5" ht="15.75" customHeight="1" x14ac:dyDescent="0.2">
      <c r="B405" s="63"/>
      <c r="D405" s="14"/>
      <c r="E405" s="63"/>
    </row>
    <row r="406" spans="2:5" ht="15.75" customHeight="1" x14ac:dyDescent="0.2">
      <c r="B406" s="63"/>
      <c r="D406" s="14"/>
      <c r="E406" s="63"/>
    </row>
    <row r="407" spans="2:5" ht="15.75" customHeight="1" x14ac:dyDescent="0.2">
      <c r="B407" s="63"/>
      <c r="D407" s="14"/>
      <c r="E407" s="63"/>
    </row>
    <row r="408" spans="2:5" ht="15.75" customHeight="1" x14ac:dyDescent="0.2">
      <c r="B408" s="63"/>
      <c r="D408" s="14"/>
      <c r="E408" s="63"/>
    </row>
    <row r="409" spans="2:5" ht="15.75" customHeight="1" x14ac:dyDescent="0.2">
      <c r="B409" s="63"/>
      <c r="D409" s="14"/>
      <c r="E409" s="63"/>
    </row>
    <row r="410" spans="2:5" ht="15.75" customHeight="1" x14ac:dyDescent="0.2">
      <c r="B410" s="63"/>
      <c r="D410" s="14"/>
      <c r="E410" s="63"/>
    </row>
    <row r="411" spans="2:5" ht="15.75" customHeight="1" x14ac:dyDescent="0.2">
      <c r="B411" s="63"/>
      <c r="D411" s="14"/>
      <c r="E411" s="63"/>
    </row>
    <row r="412" spans="2:5" ht="15.75" customHeight="1" x14ac:dyDescent="0.2">
      <c r="B412" s="63"/>
      <c r="D412" s="14"/>
      <c r="E412" s="63"/>
    </row>
    <row r="413" spans="2:5" ht="15.75" customHeight="1" x14ac:dyDescent="0.2">
      <c r="B413" s="63"/>
      <c r="D413" s="14"/>
      <c r="E413" s="63"/>
    </row>
    <row r="414" spans="2:5" ht="15.75" customHeight="1" x14ac:dyDescent="0.2">
      <c r="B414" s="63"/>
      <c r="D414" s="14"/>
      <c r="E414" s="63"/>
    </row>
    <row r="415" spans="2:5" ht="15.75" customHeight="1" x14ac:dyDescent="0.2">
      <c r="B415" s="63"/>
      <c r="D415" s="14"/>
      <c r="E415" s="63"/>
    </row>
    <row r="416" spans="2:5" ht="15.75" customHeight="1" x14ac:dyDescent="0.2">
      <c r="B416" s="63"/>
      <c r="D416" s="14"/>
      <c r="E416" s="63"/>
    </row>
    <row r="417" spans="2:5" ht="15.75" customHeight="1" x14ac:dyDescent="0.2">
      <c r="B417" s="63"/>
      <c r="D417" s="14"/>
      <c r="E417" s="63"/>
    </row>
    <row r="418" spans="2:5" ht="15.75" customHeight="1" x14ac:dyDescent="0.2">
      <c r="B418" s="63"/>
      <c r="D418" s="14"/>
      <c r="E418" s="63"/>
    </row>
    <row r="419" spans="2:5" ht="15.75" customHeight="1" x14ac:dyDescent="0.2">
      <c r="B419" s="63"/>
      <c r="D419" s="14"/>
      <c r="E419" s="63"/>
    </row>
    <row r="420" spans="2:5" ht="15.75" customHeight="1" x14ac:dyDescent="0.2">
      <c r="B420" s="63"/>
      <c r="D420" s="14"/>
      <c r="E420" s="63"/>
    </row>
    <row r="421" spans="2:5" ht="15.75" customHeight="1" x14ac:dyDescent="0.2">
      <c r="B421" s="63"/>
      <c r="D421" s="14"/>
      <c r="E421" s="63"/>
    </row>
    <row r="422" spans="2:5" ht="15.75" customHeight="1" x14ac:dyDescent="0.2">
      <c r="B422" s="63"/>
      <c r="D422" s="14"/>
      <c r="E422" s="63"/>
    </row>
    <row r="423" spans="2:5" ht="15.75" customHeight="1" x14ac:dyDescent="0.2">
      <c r="B423" s="63"/>
      <c r="D423" s="14"/>
      <c r="E423" s="63"/>
    </row>
    <row r="424" spans="2:5" ht="15.75" customHeight="1" x14ac:dyDescent="0.2">
      <c r="B424" s="63"/>
      <c r="D424" s="14"/>
      <c r="E424" s="63"/>
    </row>
    <row r="425" spans="2:5" ht="15.75" customHeight="1" x14ac:dyDescent="0.2">
      <c r="B425" s="63"/>
      <c r="D425" s="14"/>
      <c r="E425" s="63"/>
    </row>
    <row r="426" spans="2:5" ht="15.75" customHeight="1" x14ac:dyDescent="0.2">
      <c r="B426" s="63"/>
      <c r="D426" s="14"/>
      <c r="E426" s="63"/>
    </row>
    <row r="427" spans="2:5" ht="15.75" customHeight="1" x14ac:dyDescent="0.2">
      <c r="B427" s="63"/>
      <c r="D427" s="14"/>
      <c r="E427" s="63"/>
    </row>
    <row r="428" spans="2:5" ht="15.75" customHeight="1" x14ac:dyDescent="0.2">
      <c r="B428" s="63"/>
      <c r="D428" s="14"/>
      <c r="E428" s="63"/>
    </row>
    <row r="429" spans="2:5" ht="15.75" customHeight="1" x14ac:dyDescent="0.2">
      <c r="B429" s="63"/>
      <c r="D429" s="14"/>
      <c r="E429" s="63"/>
    </row>
    <row r="430" spans="2:5" ht="15.75" customHeight="1" x14ac:dyDescent="0.2">
      <c r="B430" s="63"/>
      <c r="D430" s="14"/>
      <c r="E430" s="63"/>
    </row>
    <row r="431" spans="2:5" ht="15.75" customHeight="1" x14ac:dyDescent="0.2">
      <c r="B431" s="63"/>
      <c r="D431" s="14"/>
      <c r="E431" s="63"/>
    </row>
    <row r="432" spans="2:5" ht="15.75" customHeight="1" x14ac:dyDescent="0.2">
      <c r="B432" s="63"/>
      <c r="D432" s="14"/>
      <c r="E432" s="63"/>
    </row>
    <row r="433" spans="2:5" ht="15.75" customHeight="1" x14ac:dyDescent="0.2">
      <c r="B433" s="63"/>
      <c r="D433" s="14"/>
      <c r="E433" s="63"/>
    </row>
    <row r="434" spans="2:5" ht="15.75" customHeight="1" x14ac:dyDescent="0.2">
      <c r="B434" s="63"/>
      <c r="D434" s="14"/>
      <c r="E434" s="63"/>
    </row>
    <row r="435" spans="2:5" ht="15.75" customHeight="1" x14ac:dyDescent="0.2">
      <c r="B435" s="63"/>
      <c r="D435" s="14"/>
      <c r="E435" s="63"/>
    </row>
    <row r="436" spans="2:5" ht="15.75" customHeight="1" x14ac:dyDescent="0.2">
      <c r="B436" s="63"/>
      <c r="D436" s="14"/>
      <c r="E436" s="63"/>
    </row>
    <row r="437" spans="2:5" ht="15.75" customHeight="1" x14ac:dyDescent="0.2">
      <c r="B437" s="63"/>
      <c r="D437" s="14"/>
      <c r="E437" s="63"/>
    </row>
    <row r="438" spans="2:5" ht="15.75" customHeight="1" x14ac:dyDescent="0.2">
      <c r="B438" s="63"/>
      <c r="D438" s="14"/>
      <c r="E438" s="63"/>
    </row>
    <row r="439" spans="2:5" ht="15.75" customHeight="1" x14ac:dyDescent="0.2">
      <c r="B439" s="63"/>
      <c r="D439" s="14"/>
      <c r="E439" s="63"/>
    </row>
    <row r="440" spans="2:5" ht="15.75" customHeight="1" x14ac:dyDescent="0.2">
      <c r="B440" s="63"/>
      <c r="D440" s="14"/>
      <c r="E440" s="63"/>
    </row>
    <row r="441" spans="2:5" ht="15.75" customHeight="1" x14ac:dyDescent="0.2">
      <c r="B441" s="63"/>
      <c r="D441" s="14"/>
      <c r="E441" s="63"/>
    </row>
    <row r="442" spans="2:5" ht="15.75" customHeight="1" x14ac:dyDescent="0.2">
      <c r="B442" s="63"/>
      <c r="D442" s="14"/>
      <c r="E442" s="63"/>
    </row>
    <row r="443" spans="2:5" ht="15.75" customHeight="1" x14ac:dyDescent="0.2">
      <c r="B443" s="63"/>
      <c r="D443" s="14"/>
      <c r="E443" s="63"/>
    </row>
    <row r="444" spans="2:5" ht="15.75" customHeight="1" x14ac:dyDescent="0.2">
      <c r="B444" s="63"/>
      <c r="D444" s="14"/>
      <c r="E444" s="63"/>
    </row>
    <row r="445" spans="2:5" ht="15.75" customHeight="1" x14ac:dyDescent="0.2">
      <c r="B445" s="63"/>
      <c r="D445" s="14"/>
      <c r="E445" s="63"/>
    </row>
    <row r="446" spans="2:5" ht="15.75" customHeight="1" x14ac:dyDescent="0.2">
      <c r="B446" s="63"/>
      <c r="D446" s="14"/>
      <c r="E446" s="63"/>
    </row>
    <row r="447" spans="2:5" ht="15.75" customHeight="1" x14ac:dyDescent="0.2">
      <c r="B447" s="63"/>
      <c r="D447" s="14"/>
      <c r="E447" s="63"/>
    </row>
    <row r="448" spans="2:5" ht="15.75" customHeight="1" x14ac:dyDescent="0.2">
      <c r="B448" s="63"/>
      <c r="D448" s="14"/>
      <c r="E448" s="63"/>
    </row>
    <row r="449" spans="2:5" ht="15.75" customHeight="1" x14ac:dyDescent="0.2">
      <c r="B449" s="63"/>
      <c r="D449" s="14"/>
      <c r="E449" s="63"/>
    </row>
    <row r="450" spans="2:5" ht="15.75" customHeight="1" x14ac:dyDescent="0.2">
      <c r="B450" s="63"/>
      <c r="D450" s="14"/>
      <c r="E450" s="63"/>
    </row>
    <row r="451" spans="2:5" ht="15.75" customHeight="1" x14ac:dyDescent="0.2">
      <c r="B451" s="63"/>
      <c r="D451" s="14"/>
      <c r="E451" s="63"/>
    </row>
    <row r="452" spans="2:5" ht="15.75" customHeight="1" x14ac:dyDescent="0.2">
      <c r="B452" s="63"/>
      <c r="D452" s="14"/>
      <c r="E452" s="63"/>
    </row>
    <row r="453" spans="2:5" ht="15.75" customHeight="1" x14ac:dyDescent="0.2">
      <c r="B453" s="63"/>
      <c r="D453" s="14"/>
      <c r="E453" s="63"/>
    </row>
    <row r="454" spans="2:5" ht="15.75" customHeight="1" x14ac:dyDescent="0.2">
      <c r="B454" s="63"/>
      <c r="D454" s="14"/>
      <c r="E454" s="63"/>
    </row>
    <row r="455" spans="2:5" ht="15.75" customHeight="1" x14ac:dyDescent="0.2">
      <c r="B455" s="63"/>
      <c r="D455" s="14"/>
      <c r="E455" s="63"/>
    </row>
    <row r="456" spans="2:5" ht="15.75" customHeight="1" x14ac:dyDescent="0.2">
      <c r="B456" s="63"/>
      <c r="D456" s="14"/>
      <c r="E456" s="63"/>
    </row>
    <row r="457" spans="2:5" ht="15.75" customHeight="1" x14ac:dyDescent="0.2">
      <c r="B457" s="63"/>
      <c r="D457" s="14"/>
      <c r="E457" s="63"/>
    </row>
    <row r="458" spans="2:5" ht="15.75" customHeight="1" x14ac:dyDescent="0.2">
      <c r="B458" s="63"/>
      <c r="D458" s="14"/>
      <c r="E458" s="63"/>
    </row>
    <row r="459" spans="2:5" ht="15.75" customHeight="1" x14ac:dyDescent="0.2">
      <c r="B459" s="63"/>
      <c r="D459" s="14"/>
      <c r="E459" s="63"/>
    </row>
    <row r="460" spans="2:5" ht="15.75" customHeight="1" x14ac:dyDescent="0.2">
      <c r="B460" s="63"/>
      <c r="D460" s="14"/>
      <c r="E460" s="63"/>
    </row>
    <row r="461" spans="2:5" ht="15.75" customHeight="1" x14ac:dyDescent="0.2">
      <c r="B461" s="63"/>
      <c r="D461" s="14"/>
      <c r="E461" s="63"/>
    </row>
    <row r="462" spans="2:5" ht="15.75" customHeight="1" x14ac:dyDescent="0.2">
      <c r="B462" s="63"/>
      <c r="D462" s="14"/>
      <c r="E462" s="63"/>
    </row>
    <row r="463" spans="2:5" ht="15.75" customHeight="1" x14ac:dyDescent="0.2">
      <c r="B463" s="63"/>
      <c r="D463" s="14"/>
      <c r="E463" s="63"/>
    </row>
    <row r="464" spans="2:5" ht="15.75" customHeight="1" x14ac:dyDescent="0.2">
      <c r="B464" s="63"/>
      <c r="D464" s="14"/>
      <c r="E464" s="63"/>
    </row>
    <row r="465" spans="2:5" ht="15.75" customHeight="1" x14ac:dyDescent="0.2">
      <c r="B465" s="63"/>
      <c r="D465" s="14"/>
      <c r="E465" s="63"/>
    </row>
    <row r="466" spans="2:5" ht="15.75" customHeight="1" x14ac:dyDescent="0.2">
      <c r="B466" s="63"/>
      <c r="D466" s="14"/>
      <c r="E466" s="63"/>
    </row>
    <row r="467" spans="2:5" ht="15.75" customHeight="1" x14ac:dyDescent="0.2">
      <c r="B467" s="63"/>
      <c r="D467" s="14"/>
      <c r="E467" s="63"/>
    </row>
    <row r="468" spans="2:5" ht="15.75" customHeight="1" x14ac:dyDescent="0.2">
      <c r="B468" s="63"/>
      <c r="D468" s="14"/>
      <c r="E468" s="63"/>
    </row>
    <row r="469" spans="2:5" ht="15.75" customHeight="1" x14ac:dyDescent="0.2">
      <c r="B469" s="63"/>
      <c r="D469" s="14"/>
      <c r="E469" s="63"/>
    </row>
    <row r="470" spans="2:5" ht="15.75" customHeight="1" x14ac:dyDescent="0.2">
      <c r="B470" s="63"/>
      <c r="D470" s="14"/>
      <c r="E470" s="63"/>
    </row>
    <row r="471" spans="2:5" ht="15.75" customHeight="1" x14ac:dyDescent="0.2">
      <c r="B471" s="63"/>
      <c r="D471" s="14"/>
      <c r="E471" s="63"/>
    </row>
    <row r="472" spans="2:5" ht="15.75" customHeight="1" x14ac:dyDescent="0.2">
      <c r="B472" s="63"/>
      <c r="D472" s="14"/>
      <c r="E472" s="63"/>
    </row>
    <row r="473" spans="2:5" ht="15.75" customHeight="1" x14ac:dyDescent="0.2">
      <c r="B473" s="63"/>
      <c r="D473" s="14"/>
      <c r="E473" s="63"/>
    </row>
    <row r="474" spans="2:5" ht="15.75" customHeight="1" x14ac:dyDescent="0.2">
      <c r="B474" s="63"/>
      <c r="D474" s="14"/>
      <c r="E474" s="63"/>
    </row>
    <row r="475" spans="2:5" ht="15.75" customHeight="1" x14ac:dyDescent="0.2">
      <c r="B475" s="63"/>
      <c r="D475" s="14"/>
      <c r="E475" s="63"/>
    </row>
    <row r="476" spans="2:5" ht="15.75" customHeight="1" x14ac:dyDescent="0.2">
      <c r="B476" s="63"/>
      <c r="D476" s="14"/>
      <c r="E476" s="63"/>
    </row>
    <row r="477" spans="2:5" ht="15.75" customHeight="1" x14ac:dyDescent="0.2">
      <c r="B477" s="63"/>
      <c r="D477" s="14"/>
      <c r="E477" s="63"/>
    </row>
    <row r="478" spans="2:5" ht="15.75" customHeight="1" x14ac:dyDescent="0.2">
      <c r="B478" s="63"/>
      <c r="D478" s="14"/>
      <c r="E478" s="63"/>
    </row>
    <row r="479" spans="2:5" ht="15.75" customHeight="1" x14ac:dyDescent="0.2">
      <c r="B479" s="63"/>
      <c r="D479" s="14"/>
      <c r="E479" s="63"/>
    </row>
    <row r="480" spans="2:5" ht="15.75" customHeight="1" x14ac:dyDescent="0.2">
      <c r="B480" s="63"/>
      <c r="D480" s="14"/>
      <c r="E480" s="63"/>
    </row>
    <row r="481" spans="2:5" ht="15.75" customHeight="1" x14ac:dyDescent="0.2">
      <c r="B481" s="63"/>
      <c r="D481" s="14"/>
      <c r="E481" s="63"/>
    </row>
    <row r="482" spans="2:5" ht="15.75" customHeight="1" x14ac:dyDescent="0.2">
      <c r="B482" s="63"/>
      <c r="D482" s="14"/>
      <c r="E482" s="63"/>
    </row>
    <row r="483" spans="2:5" ht="15.75" customHeight="1" x14ac:dyDescent="0.2">
      <c r="B483" s="63"/>
      <c r="D483" s="14"/>
      <c r="E483" s="63"/>
    </row>
    <row r="484" spans="2:5" ht="15.75" customHeight="1" x14ac:dyDescent="0.2">
      <c r="B484" s="63"/>
      <c r="D484" s="14"/>
      <c r="E484" s="63"/>
    </row>
    <row r="485" spans="2:5" ht="15.75" customHeight="1" x14ac:dyDescent="0.2">
      <c r="B485" s="63"/>
      <c r="D485" s="14"/>
      <c r="E485" s="63"/>
    </row>
    <row r="486" spans="2:5" ht="15.75" customHeight="1" x14ac:dyDescent="0.2">
      <c r="B486" s="63"/>
      <c r="D486" s="14"/>
      <c r="E486" s="63"/>
    </row>
    <row r="487" spans="2:5" ht="15.75" customHeight="1" x14ac:dyDescent="0.2">
      <c r="B487" s="63"/>
      <c r="D487" s="14"/>
      <c r="E487" s="63"/>
    </row>
    <row r="488" spans="2:5" ht="15.75" customHeight="1" x14ac:dyDescent="0.2">
      <c r="B488" s="63"/>
      <c r="D488" s="14"/>
      <c r="E488" s="63"/>
    </row>
    <row r="489" spans="2:5" ht="15.75" customHeight="1" x14ac:dyDescent="0.2">
      <c r="B489" s="63"/>
      <c r="D489" s="14"/>
      <c r="E489" s="63"/>
    </row>
    <row r="490" spans="2:5" ht="15.75" customHeight="1" x14ac:dyDescent="0.2">
      <c r="B490" s="63"/>
      <c r="D490" s="14"/>
      <c r="E490" s="63"/>
    </row>
    <row r="491" spans="2:5" ht="15.75" customHeight="1" x14ac:dyDescent="0.2">
      <c r="B491" s="63"/>
      <c r="D491" s="14"/>
      <c r="E491" s="63"/>
    </row>
    <row r="492" spans="2:5" ht="15.75" customHeight="1" x14ac:dyDescent="0.2">
      <c r="B492" s="63"/>
      <c r="D492" s="14"/>
      <c r="E492" s="63"/>
    </row>
    <row r="493" spans="2:5" ht="15.75" customHeight="1" x14ac:dyDescent="0.2">
      <c r="B493" s="63"/>
      <c r="D493" s="14"/>
      <c r="E493" s="63"/>
    </row>
    <row r="494" spans="2:5" ht="15.75" customHeight="1" x14ac:dyDescent="0.2">
      <c r="B494" s="63"/>
      <c r="D494" s="14"/>
      <c r="E494" s="63"/>
    </row>
    <row r="495" spans="2:5" ht="15.75" customHeight="1" x14ac:dyDescent="0.2">
      <c r="B495" s="63"/>
      <c r="D495" s="14"/>
      <c r="E495" s="63"/>
    </row>
    <row r="496" spans="2:5" ht="15.75" customHeight="1" x14ac:dyDescent="0.2">
      <c r="B496" s="63"/>
      <c r="D496" s="14"/>
      <c r="E496" s="63"/>
    </row>
    <row r="497" spans="2:5" ht="15.75" customHeight="1" x14ac:dyDescent="0.2">
      <c r="B497" s="63"/>
      <c r="D497" s="14"/>
      <c r="E497" s="63"/>
    </row>
    <row r="498" spans="2:5" ht="15.75" customHeight="1" x14ac:dyDescent="0.2">
      <c r="B498" s="63"/>
      <c r="D498" s="14"/>
      <c r="E498" s="63"/>
    </row>
    <row r="499" spans="2:5" ht="15.75" customHeight="1" x14ac:dyDescent="0.2">
      <c r="B499" s="63"/>
      <c r="D499" s="14"/>
      <c r="E499" s="63"/>
    </row>
    <row r="500" spans="2:5" ht="15.75" customHeight="1" x14ac:dyDescent="0.2">
      <c r="B500" s="63"/>
      <c r="D500" s="14"/>
      <c r="E500" s="63"/>
    </row>
    <row r="501" spans="2:5" ht="15.75" customHeight="1" x14ac:dyDescent="0.2">
      <c r="B501" s="63"/>
      <c r="D501" s="14"/>
      <c r="E501" s="63"/>
    </row>
    <row r="502" spans="2:5" ht="15.75" customHeight="1" x14ac:dyDescent="0.2">
      <c r="B502" s="63"/>
      <c r="D502" s="14"/>
      <c r="E502" s="63"/>
    </row>
    <row r="503" spans="2:5" ht="15.75" customHeight="1" x14ac:dyDescent="0.2">
      <c r="B503" s="63"/>
      <c r="D503" s="14"/>
      <c r="E503" s="63"/>
    </row>
    <row r="504" spans="2:5" ht="15.75" customHeight="1" x14ac:dyDescent="0.2">
      <c r="B504" s="63"/>
      <c r="D504" s="14"/>
      <c r="E504" s="63"/>
    </row>
    <row r="505" spans="2:5" ht="15.75" customHeight="1" x14ac:dyDescent="0.2">
      <c r="B505" s="63"/>
      <c r="D505" s="14"/>
      <c r="E505" s="63"/>
    </row>
    <row r="506" spans="2:5" ht="15.75" customHeight="1" x14ac:dyDescent="0.2">
      <c r="B506" s="63"/>
      <c r="D506" s="14"/>
      <c r="E506" s="63"/>
    </row>
    <row r="507" spans="2:5" ht="15.75" customHeight="1" x14ac:dyDescent="0.2">
      <c r="B507" s="63"/>
      <c r="D507" s="14"/>
      <c r="E507" s="63"/>
    </row>
    <row r="508" spans="2:5" ht="15.75" customHeight="1" x14ac:dyDescent="0.2">
      <c r="B508" s="63"/>
      <c r="D508" s="14"/>
      <c r="E508" s="63"/>
    </row>
    <row r="509" spans="2:5" ht="15.75" customHeight="1" x14ac:dyDescent="0.2">
      <c r="B509" s="63"/>
      <c r="D509" s="14"/>
      <c r="E509" s="63"/>
    </row>
    <row r="510" spans="2:5" ht="15.75" customHeight="1" x14ac:dyDescent="0.2">
      <c r="B510" s="63"/>
      <c r="D510" s="14"/>
      <c r="E510" s="63"/>
    </row>
    <row r="511" spans="2:5" ht="15.75" customHeight="1" x14ac:dyDescent="0.2">
      <c r="B511" s="63"/>
      <c r="D511" s="14"/>
      <c r="E511" s="63"/>
    </row>
    <row r="512" spans="2:5" ht="15.75" customHeight="1" x14ac:dyDescent="0.2">
      <c r="B512" s="63"/>
      <c r="D512" s="14"/>
      <c r="E512" s="63"/>
    </row>
    <row r="513" spans="2:5" ht="15.75" customHeight="1" x14ac:dyDescent="0.2">
      <c r="B513" s="63"/>
      <c r="D513" s="14"/>
      <c r="E513" s="63"/>
    </row>
    <row r="514" spans="2:5" ht="15.75" customHeight="1" x14ac:dyDescent="0.2">
      <c r="B514" s="63"/>
      <c r="D514" s="14"/>
      <c r="E514" s="63"/>
    </row>
    <row r="515" spans="2:5" ht="15.75" customHeight="1" x14ac:dyDescent="0.2">
      <c r="B515" s="63"/>
      <c r="D515" s="14"/>
      <c r="E515" s="63"/>
    </row>
    <row r="516" spans="2:5" ht="15.75" customHeight="1" x14ac:dyDescent="0.2">
      <c r="B516" s="63"/>
      <c r="D516" s="14"/>
      <c r="E516" s="63"/>
    </row>
    <row r="517" spans="2:5" ht="15.75" customHeight="1" x14ac:dyDescent="0.2">
      <c r="B517" s="63"/>
      <c r="D517" s="14"/>
      <c r="E517" s="63"/>
    </row>
    <row r="518" spans="2:5" ht="15.75" customHeight="1" x14ac:dyDescent="0.2">
      <c r="B518" s="63"/>
      <c r="D518" s="14"/>
      <c r="E518" s="63"/>
    </row>
    <row r="519" spans="2:5" ht="15.75" customHeight="1" x14ac:dyDescent="0.2">
      <c r="B519" s="63"/>
      <c r="D519" s="14"/>
      <c r="E519" s="63"/>
    </row>
    <row r="520" spans="2:5" ht="15.75" customHeight="1" x14ac:dyDescent="0.2">
      <c r="B520" s="63"/>
      <c r="D520" s="14"/>
      <c r="E520" s="63"/>
    </row>
    <row r="521" spans="2:5" ht="15.75" customHeight="1" x14ac:dyDescent="0.2">
      <c r="B521" s="63"/>
      <c r="D521" s="14"/>
      <c r="E521" s="63"/>
    </row>
    <row r="522" spans="2:5" ht="15.75" customHeight="1" x14ac:dyDescent="0.2">
      <c r="B522" s="63"/>
      <c r="D522" s="14"/>
      <c r="E522" s="63"/>
    </row>
    <row r="523" spans="2:5" ht="15.75" customHeight="1" x14ac:dyDescent="0.2">
      <c r="B523" s="63"/>
      <c r="D523" s="14"/>
      <c r="E523" s="63"/>
    </row>
    <row r="524" spans="2:5" ht="15.75" customHeight="1" x14ac:dyDescent="0.2">
      <c r="B524" s="63"/>
      <c r="D524" s="14"/>
      <c r="E524" s="63"/>
    </row>
    <row r="525" spans="2:5" ht="15.75" customHeight="1" x14ac:dyDescent="0.2">
      <c r="B525" s="63"/>
      <c r="D525" s="14"/>
      <c r="E525" s="63"/>
    </row>
    <row r="526" spans="2:5" ht="15.75" customHeight="1" x14ac:dyDescent="0.2">
      <c r="B526" s="63"/>
      <c r="D526" s="14"/>
      <c r="E526" s="63"/>
    </row>
    <row r="527" spans="2:5" ht="15.75" customHeight="1" x14ac:dyDescent="0.2">
      <c r="B527" s="63"/>
      <c r="D527" s="14"/>
      <c r="E527" s="63"/>
    </row>
    <row r="528" spans="2:5" ht="15.75" customHeight="1" x14ac:dyDescent="0.2">
      <c r="B528" s="63"/>
      <c r="D528" s="14"/>
      <c r="E528" s="63"/>
    </row>
    <row r="529" spans="2:5" ht="15.75" customHeight="1" x14ac:dyDescent="0.2">
      <c r="B529" s="63"/>
      <c r="D529" s="14"/>
      <c r="E529" s="63"/>
    </row>
    <row r="530" spans="2:5" ht="15.75" customHeight="1" x14ac:dyDescent="0.2">
      <c r="B530" s="63"/>
      <c r="D530" s="14"/>
      <c r="E530" s="63"/>
    </row>
    <row r="531" spans="2:5" ht="15.75" customHeight="1" x14ac:dyDescent="0.2">
      <c r="B531" s="63"/>
      <c r="D531" s="14"/>
      <c r="E531" s="63"/>
    </row>
    <row r="532" spans="2:5" ht="15.75" customHeight="1" x14ac:dyDescent="0.2">
      <c r="B532" s="63"/>
      <c r="D532" s="14"/>
      <c r="E532" s="63"/>
    </row>
    <row r="533" spans="2:5" ht="15.75" customHeight="1" x14ac:dyDescent="0.2">
      <c r="B533" s="63"/>
      <c r="D533" s="14"/>
      <c r="E533" s="63"/>
    </row>
    <row r="534" spans="2:5" ht="15.75" customHeight="1" x14ac:dyDescent="0.2">
      <c r="B534" s="63"/>
      <c r="D534" s="14"/>
      <c r="E534" s="63"/>
    </row>
    <row r="535" spans="2:5" ht="15.75" customHeight="1" x14ac:dyDescent="0.2">
      <c r="B535" s="63"/>
      <c r="D535" s="14"/>
      <c r="E535" s="63"/>
    </row>
    <row r="536" spans="2:5" ht="15.75" customHeight="1" x14ac:dyDescent="0.2">
      <c r="B536" s="63"/>
      <c r="D536" s="14"/>
      <c r="E536" s="63"/>
    </row>
    <row r="537" spans="2:5" ht="15.75" customHeight="1" x14ac:dyDescent="0.2">
      <c r="B537" s="63"/>
      <c r="D537" s="14"/>
      <c r="E537" s="63"/>
    </row>
    <row r="538" spans="2:5" ht="15.75" customHeight="1" x14ac:dyDescent="0.2">
      <c r="B538" s="63"/>
      <c r="D538" s="14"/>
      <c r="E538" s="63"/>
    </row>
    <row r="539" spans="2:5" ht="15.75" customHeight="1" x14ac:dyDescent="0.2">
      <c r="B539" s="63"/>
      <c r="D539" s="14"/>
      <c r="E539" s="63"/>
    </row>
    <row r="540" spans="2:5" ht="15.75" customHeight="1" x14ac:dyDescent="0.2">
      <c r="B540" s="63"/>
      <c r="D540" s="14"/>
      <c r="E540" s="63"/>
    </row>
    <row r="541" spans="2:5" ht="15.75" customHeight="1" x14ac:dyDescent="0.2">
      <c r="B541" s="63"/>
      <c r="D541" s="14"/>
      <c r="E541" s="63"/>
    </row>
    <row r="542" spans="2:5" ht="15.75" customHeight="1" x14ac:dyDescent="0.2">
      <c r="B542" s="63"/>
      <c r="D542" s="14"/>
      <c r="E542" s="63"/>
    </row>
    <row r="543" spans="2:5" ht="15.75" customHeight="1" x14ac:dyDescent="0.2">
      <c r="B543" s="63"/>
      <c r="D543" s="14"/>
      <c r="E543" s="63"/>
    </row>
    <row r="544" spans="2:5" ht="15.75" customHeight="1" x14ac:dyDescent="0.2">
      <c r="B544" s="63"/>
      <c r="D544" s="14"/>
      <c r="E544" s="63"/>
    </row>
    <row r="545" spans="2:5" ht="15.75" customHeight="1" x14ac:dyDescent="0.2">
      <c r="B545" s="63"/>
      <c r="D545" s="14"/>
      <c r="E545" s="63"/>
    </row>
    <row r="546" spans="2:5" ht="15.75" customHeight="1" x14ac:dyDescent="0.2">
      <c r="B546" s="63"/>
      <c r="D546" s="14"/>
      <c r="E546" s="63"/>
    </row>
    <row r="547" spans="2:5" ht="15.75" customHeight="1" x14ac:dyDescent="0.2">
      <c r="B547" s="63"/>
      <c r="D547" s="14"/>
      <c r="E547" s="63"/>
    </row>
    <row r="548" spans="2:5" ht="15.75" customHeight="1" x14ac:dyDescent="0.2">
      <c r="B548" s="63"/>
      <c r="D548" s="14"/>
      <c r="E548" s="63"/>
    </row>
    <row r="549" spans="2:5" ht="15.75" customHeight="1" x14ac:dyDescent="0.2">
      <c r="B549" s="63"/>
      <c r="D549" s="14"/>
      <c r="E549" s="63"/>
    </row>
    <row r="550" spans="2:5" ht="15.75" customHeight="1" x14ac:dyDescent="0.2">
      <c r="B550" s="63"/>
      <c r="D550" s="14"/>
      <c r="E550" s="63"/>
    </row>
    <row r="551" spans="2:5" ht="15.75" customHeight="1" x14ac:dyDescent="0.2">
      <c r="B551" s="63"/>
      <c r="D551" s="14"/>
      <c r="E551" s="63"/>
    </row>
    <row r="552" spans="2:5" ht="15.75" customHeight="1" x14ac:dyDescent="0.2">
      <c r="B552" s="63"/>
      <c r="D552" s="14"/>
      <c r="E552" s="63"/>
    </row>
    <row r="553" spans="2:5" ht="15.75" customHeight="1" x14ac:dyDescent="0.2">
      <c r="B553" s="63"/>
      <c r="D553" s="14"/>
      <c r="E553" s="63"/>
    </row>
    <row r="554" spans="2:5" ht="15.75" customHeight="1" x14ac:dyDescent="0.2">
      <c r="B554" s="63"/>
      <c r="D554" s="14"/>
      <c r="E554" s="63"/>
    </row>
    <row r="555" spans="2:5" ht="15.75" customHeight="1" x14ac:dyDescent="0.2">
      <c r="B555" s="63"/>
      <c r="D555" s="14"/>
      <c r="E555" s="63"/>
    </row>
    <row r="556" spans="2:5" ht="15.75" customHeight="1" x14ac:dyDescent="0.2">
      <c r="B556" s="63"/>
      <c r="D556" s="14"/>
      <c r="E556" s="63"/>
    </row>
    <row r="557" spans="2:5" ht="15.75" customHeight="1" x14ac:dyDescent="0.2">
      <c r="B557" s="63"/>
      <c r="D557" s="14"/>
      <c r="E557" s="63"/>
    </row>
    <row r="558" spans="2:5" ht="15.75" customHeight="1" x14ac:dyDescent="0.2">
      <c r="B558" s="63"/>
      <c r="D558" s="14"/>
      <c r="E558" s="63"/>
    </row>
    <row r="559" spans="2:5" ht="15.75" customHeight="1" x14ac:dyDescent="0.2">
      <c r="B559" s="63"/>
      <c r="D559" s="14"/>
      <c r="E559" s="63"/>
    </row>
    <row r="560" spans="2:5" ht="15.75" customHeight="1" x14ac:dyDescent="0.2">
      <c r="B560" s="63"/>
      <c r="D560" s="14"/>
      <c r="E560" s="63"/>
    </row>
    <row r="561" spans="2:5" ht="15.75" customHeight="1" x14ac:dyDescent="0.2">
      <c r="B561" s="63"/>
      <c r="D561" s="14"/>
      <c r="E561" s="63"/>
    </row>
    <row r="562" spans="2:5" ht="15.75" customHeight="1" x14ac:dyDescent="0.2">
      <c r="B562" s="63"/>
      <c r="D562" s="14"/>
      <c r="E562" s="63"/>
    </row>
    <row r="563" spans="2:5" ht="15.75" customHeight="1" x14ac:dyDescent="0.2">
      <c r="B563" s="63"/>
      <c r="D563" s="14"/>
      <c r="E563" s="63"/>
    </row>
    <row r="564" spans="2:5" ht="15.75" customHeight="1" x14ac:dyDescent="0.2">
      <c r="B564" s="63"/>
      <c r="D564" s="14"/>
      <c r="E564" s="63"/>
    </row>
    <row r="565" spans="2:5" ht="15.75" customHeight="1" x14ac:dyDescent="0.2">
      <c r="B565" s="63"/>
      <c r="D565" s="14"/>
      <c r="E565" s="63"/>
    </row>
    <row r="566" spans="2:5" ht="15.75" customHeight="1" x14ac:dyDescent="0.2">
      <c r="B566" s="63"/>
      <c r="D566" s="14"/>
      <c r="E566" s="63"/>
    </row>
    <row r="567" spans="2:5" ht="15.75" customHeight="1" x14ac:dyDescent="0.2">
      <c r="B567" s="63"/>
      <c r="D567" s="14"/>
      <c r="E567" s="63"/>
    </row>
    <row r="568" spans="2:5" ht="15.75" customHeight="1" x14ac:dyDescent="0.2">
      <c r="B568" s="63"/>
      <c r="D568" s="14"/>
      <c r="E568" s="63"/>
    </row>
    <row r="569" spans="2:5" ht="15.75" customHeight="1" x14ac:dyDescent="0.2">
      <c r="B569" s="63"/>
      <c r="D569" s="14"/>
      <c r="E569" s="63"/>
    </row>
    <row r="570" spans="2:5" ht="15.75" customHeight="1" x14ac:dyDescent="0.2">
      <c r="B570" s="63"/>
      <c r="D570" s="14"/>
      <c r="E570" s="63"/>
    </row>
    <row r="571" spans="2:5" ht="15.75" customHeight="1" x14ac:dyDescent="0.2">
      <c r="B571" s="63"/>
      <c r="D571" s="14"/>
      <c r="E571" s="63"/>
    </row>
    <row r="572" spans="2:5" ht="15.75" customHeight="1" x14ac:dyDescent="0.2">
      <c r="B572" s="63"/>
      <c r="D572" s="14"/>
      <c r="E572" s="63"/>
    </row>
    <row r="573" spans="2:5" ht="15.75" customHeight="1" x14ac:dyDescent="0.2">
      <c r="B573" s="63"/>
      <c r="D573" s="14"/>
      <c r="E573" s="63"/>
    </row>
    <row r="574" spans="2:5" ht="15.75" customHeight="1" x14ac:dyDescent="0.2">
      <c r="B574" s="63"/>
      <c r="D574" s="14"/>
      <c r="E574" s="63"/>
    </row>
    <row r="575" spans="2:5" ht="15.75" customHeight="1" x14ac:dyDescent="0.2">
      <c r="B575" s="63"/>
      <c r="D575" s="14"/>
      <c r="E575" s="63"/>
    </row>
    <row r="576" spans="2:5" ht="15.75" customHeight="1" x14ac:dyDescent="0.2">
      <c r="B576" s="63"/>
      <c r="D576" s="14"/>
      <c r="E576" s="63"/>
    </row>
    <row r="577" spans="2:5" ht="15.75" customHeight="1" x14ac:dyDescent="0.2">
      <c r="B577" s="63"/>
      <c r="D577" s="14"/>
      <c r="E577" s="63"/>
    </row>
    <row r="578" spans="2:5" ht="15.75" customHeight="1" x14ac:dyDescent="0.2">
      <c r="B578" s="63"/>
      <c r="D578" s="14"/>
      <c r="E578" s="63"/>
    </row>
    <row r="579" spans="2:5" ht="15.75" customHeight="1" x14ac:dyDescent="0.2">
      <c r="B579" s="63"/>
      <c r="D579" s="14"/>
      <c r="E579" s="63"/>
    </row>
    <row r="580" spans="2:5" ht="15.75" customHeight="1" x14ac:dyDescent="0.2">
      <c r="B580" s="63"/>
      <c r="D580" s="14"/>
      <c r="E580" s="63"/>
    </row>
    <row r="581" spans="2:5" ht="15.75" customHeight="1" x14ac:dyDescent="0.2">
      <c r="B581" s="63"/>
      <c r="D581" s="14"/>
      <c r="E581" s="63"/>
    </row>
    <row r="582" spans="2:5" ht="15.75" customHeight="1" x14ac:dyDescent="0.2">
      <c r="B582" s="63"/>
      <c r="D582" s="14"/>
      <c r="E582" s="63"/>
    </row>
    <row r="583" spans="2:5" ht="15.75" customHeight="1" x14ac:dyDescent="0.2">
      <c r="B583" s="63"/>
      <c r="D583" s="14"/>
      <c r="E583" s="63"/>
    </row>
    <row r="584" spans="2:5" ht="15.75" customHeight="1" x14ac:dyDescent="0.2">
      <c r="B584" s="63"/>
      <c r="D584" s="14"/>
      <c r="E584" s="63"/>
    </row>
    <row r="585" spans="2:5" ht="15.75" customHeight="1" x14ac:dyDescent="0.2">
      <c r="B585" s="63"/>
      <c r="D585" s="14"/>
      <c r="E585" s="63"/>
    </row>
    <row r="586" spans="2:5" ht="15.75" customHeight="1" x14ac:dyDescent="0.2">
      <c r="B586" s="63"/>
      <c r="D586" s="14"/>
      <c r="E586" s="63"/>
    </row>
    <row r="587" spans="2:5" ht="15.75" customHeight="1" x14ac:dyDescent="0.2">
      <c r="B587" s="63"/>
      <c r="D587" s="14"/>
      <c r="E587" s="63"/>
    </row>
    <row r="588" spans="2:5" ht="15.75" customHeight="1" x14ac:dyDescent="0.2">
      <c r="B588" s="63"/>
      <c r="D588" s="14"/>
      <c r="E588" s="63"/>
    </row>
    <row r="589" spans="2:5" ht="15.75" customHeight="1" x14ac:dyDescent="0.2">
      <c r="B589" s="63"/>
      <c r="D589" s="14"/>
      <c r="E589" s="63"/>
    </row>
    <row r="590" spans="2:5" ht="15.75" customHeight="1" x14ac:dyDescent="0.2">
      <c r="B590" s="63"/>
      <c r="D590" s="14"/>
      <c r="E590" s="63"/>
    </row>
    <row r="591" spans="2:5" ht="15.75" customHeight="1" x14ac:dyDescent="0.2">
      <c r="B591" s="63"/>
      <c r="D591" s="14"/>
      <c r="E591" s="63"/>
    </row>
    <row r="592" spans="2:5" ht="15.75" customHeight="1" x14ac:dyDescent="0.2">
      <c r="B592" s="63"/>
      <c r="D592" s="14"/>
      <c r="E592" s="63"/>
    </row>
    <row r="593" spans="2:5" ht="15.75" customHeight="1" x14ac:dyDescent="0.2">
      <c r="B593" s="63"/>
      <c r="D593" s="14"/>
      <c r="E593" s="63"/>
    </row>
    <row r="594" spans="2:5" ht="15.75" customHeight="1" x14ac:dyDescent="0.2">
      <c r="B594" s="63"/>
      <c r="D594" s="14"/>
      <c r="E594" s="63"/>
    </row>
    <row r="595" spans="2:5" ht="15.75" customHeight="1" x14ac:dyDescent="0.2">
      <c r="B595" s="63"/>
      <c r="D595" s="14"/>
      <c r="E595" s="63"/>
    </row>
    <row r="596" spans="2:5" ht="15.75" customHeight="1" x14ac:dyDescent="0.2">
      <c r="B596" s="63"/>
      <c r="D596" s="14"/>
      <c r="E596" s="63"/>
    </row>
    <row r="597" spans="2:5" ht="15.75" customHeight="1" x14ac:dyDescent="0.2">
      <c r="B597" s="63"/>
      <c r="D597" s="14"/>
      <c r="E597" s="63"/>
    </row>
    <row r="598" spans="2:5" ht="15.75" customHeight="1" x14ac:dyDescent="0.2">
      <c r="B598" s="63"/>
      <c r="D598" s="14"/>
      <c r="E598" s="63"/>
    </row>
    <row r="599" spans="2:5" ht="15.75" customHeight="1" x14ac:dyDescent="0.2">
      <c r="B599" s="63"/>
      <c r="D599" s="14"/>
      <c r="E599" s="63"/>
    </row>
    <row r="600" spans="2:5" ht="15.75" customHeight="1" x14ac:dyDescent="0.2">
      <c r="B600" s="63"/>
      <c r="D600" s="14"/>
      <c r="E600" s="63"/>
    </row>
    <row r="601" spans="2:5" ht="15.75" customHeight="1" x14ac:dyDescent="0.2">
      <c r="B601" s="63"/>
      <c r="D601" s="14"/>
      <c r="E601" s="63"/>
    </row>
    <row r="602" spans="2:5" ht="15.75" customHeight="1" x14ac:dyDescent="0.2">
      <c r="B602" s="63"/>
      <c r="D602" s="14"/>
      <c r="E602" s="63"/>
    </row>
    <row r="603" spans="2:5" ht="15.75" customHeight="1" x14ac:dyDescent="0.2">
      <c r="B603" s="63"/>
      <c r="D603" s="14"/>
      <c r="E603" s="63"/>
    </row>
    <row r="604" spans="2:5" ht="15.75" customHeight="1" x14ac:dyDescent="0.2">
      <c r="B604" s="63"/>
      <c r="D604" s="14"/>
      <c r="E604" s="63"/>
    </row>
    <row r="605" spans="2:5" ht="15.75" customHeight="1" x14ac:dyDescent="0.2">
      <c r="B605" s="63"/>
      <c r="D605" s="14"/>
      <c r="E605" s="63"/>
    </row>
    <row r="606" spans="2:5" ht="15.75" customHeight="1" x14ac:dyDescent="0.2">
      <c r="B606" s="63"/>
      <c r="D606" s="14"/>
      <c r="E606" s="63"/>
    </row>
    <row r="607" spans="2:5" ht="15.75" customHeight="1" x14ac:dyDescent="0.2">
      <c r="B607" s="63"/>
      <c r="D607" s="14"/>
      <c r="E607" s="63"/>
    </row>
    <row r="608" spans="2:5" ht="15.75" customHeight="1" x14ac:dyDescent="0.2">
      <c r="B608" s="63"/>
      <c r="D608" s="14"/>
      <c r="E608" s="63"/>
    </row>
    <row r="609" spans="2:5" ht="15.75" customHeight="1" x14ac:dyDescent="0.2">
      <c r="B609" s="63"/>
      <c r="D609" s="14"/>
      <c r="E609" s="63"/>
    </row>
    <row r="610" spans="2:5" ht="15.75" customHeight="1" x14ac:dyDescent="0.2">
      <c r="B610" s="63"/>
      <c r="D610" s="14"/>
      <c r="E610" s="63"/>
    </row>
    <row r="611" spans="2:5" ht="15.75" customHeight="1" x14ac:dyDescent="0.2">
      <c r="B611" s="63"/>
      <c r="D611" s="14"/>
      <c r="E611" s="63"/>
    </row>
    <row r="612" spans="2:5" ht="15.75" customHeight="1" x14ac:dyDescent="0.2">
      <c r="B612" s="63"/>
      <c r="D612" s="14"/>
      <c r="E612" s="63"/>
    </row>
    <row r="613" spans="2:5" ht="15.75" customHeight="1" x14ac:dyDescent="0.2">
      <c r="B613" s="63"/>
      <c r="D613" s="14"/>
      <c r="E613" s="63"/>
    </row>
    <row r="614" spans="2:5" ht="15.75" customHeight="1" x14ac:dyDescent="0.2">
      <c r="B614" s="63"/>
      <c r="D614" s="14"/>
      <c r="E614" s="63"/>
    </row>
    <row r="615" spans="2:5" ht="15.75" customHeight="1" x14ac:dyDescent="0.2">
      <c r="B615" s="63"/>
      <c r="D615" s="14"/>
      <c r="E615" s="63"/>
    </row>
    <row r="616" spans="2:5" ht="15.75" customHeight="1" x14ac:dyDescent="0.2">
      <c r="B616" s="63"/>
      <c r="D616" s="14"/>
      <c r="E616" s="63"/>
    </row>
    <row r="617" spans="2:5" ht="15.75" customHeight="1" x14ac:dyDescent="0.2">
      <c r="B617" s="63"/>
      <c r="D617" s="14"/>
      <c r="E617" s="63"/>
    </row>
    <row r="618" spans="2:5" ht="15.75" customHeight="1" x14ac:dyDescent="0.2">
      <c r="B618" s="63"/>
      <c r="D618" s="14"/>
      <c r="E618" s="63"/>
    </row>
    <row r="619" spans="2:5" ht="15.75" customHeight="1" x14ac:dyDescent="0.2">
      <c r="B619" s="63"/>
      <c r="D619" s="14"/>
      <c r="E619" s="63"/>
    </row>
    <row r="620" spans="2:5" ht="15.75" customHeight="1" x14ac:dyDescent="0.2">
      <c r="B620" s="63"/>
      <c r="D620" s="14"/>
      <c r="E620" s="63"/>
    </row>
    <row r="621" spans="2:5" ht="15.75" customHeight="1" x14ac:dyDescent="0.2">
      <c r="B621" s="63"/>
      <c r="D621" s="14"/>
      <c r="E621" s="63"/>
    </row>
    <row r="622" spans="2:5" ht="15.75" customHeight="1" x14ac:dyDescent="0.2">
      <c r="B622" s="63"/>
      <c r="D622" s="14"/>
      <c r="E622" s="63"/>
    </row>
    <row r="623" spans="2:5" ht="15.75" customHeight="1" x14ac:dyDescent="0.2">
      <c r="B623" s="63"/>
      <c r="D623" s="14"/>
      <c r="E623" s="63"/>
    </row>
    <row r="624" spans="2:5" ht="15.75" customHeight="1" x14ac:dyDescent="0.2">
      <c r="B624" s="63"/>
      <c r="D624" s="14"/>
      <c r="E624" s="63"/>
    </row>
    <row r="625" spans="2:5" ht="15.75" customHeight="1" x14ac:dyDescent="0.2">
      <c r="B625" s="63"/>
      <c r="D625" s="14"/>
      <c r="E625" s="63"/>
    </row>
    <row r="626" spans="2:5" ht="15.75" customHeight="1" x14ac:dyDescent="0.2">
      <c r="B626" s="63"/>
      <c r="D626" s="14"/>
      <c r="E626" s="63"/>
    </row>
    <row r="627" spans="2:5" ht="15.75" customHeight="1" x14ac:dyDescent="0.2">
      <c r="B627" s="63"/>
      <c r="D627" s="14"/>
      <c r="E627" s="63"/>
    </row>
    <row r="628" spans="2:5" ht="15.75" customHeight="1" x14ac:dyDescent="0.2">
      <c r="B628" s="63"/>
      <c r="D628" s="14"/>
      <c r="E628" s="63"/>
    </row>
    <row r="629" spans="2:5" ht="15.75" customHeight="1" x14ac:dyDescent="0.2">
      <c r="B629" s="63"/>
      <c r="D629" s="14"/>
      <c r="E629" s="63"/>
    </row>
    <row r="630" spans="2:5" ht="15.75" customHeight="1" x14ac:dyDescent="0.2">
      <c r="B630" s="63"/>
      <c r="D630" s="14"/>
      <c r="E630" s="63"/>
    </row>
    <row r="631" spans="2:5" ht="15.75" customHeight="1" x14ac:dyDescent="0.2">
      <c r="B631" s="63"/>
      <c r="D631" s="14"/>
      <c r="E631" s="63"/>
    </row>
    <row r="632" spans="2:5" ht="15.75" customHeight="1" x14ac:dyDescent="0.2">
      <c r="B632" s="63"/>
      <c r="D632" s="14"/>
      <c r="E632" s="63"/>
    </row>
    <row r="633" spans="2:5" ht="15.75" customHeight="1" x14ac:dyDescent="0.2">
      <c r="B633" s="63"/>
      <c r="D633" s="14"/>
      <c r="E633" s="63"/>
    </row>
    <row r="634" spans="2:5" ht="15.75" customHeight="1" x14ac:dyDescent="0.2">
      <c r="B634" s="63"/>
      <c r="D634" s="14"/>
      <c r="E634" s="63"/>
    </row>
    <row r="635" spans="2:5" ht="15.75" customHeight="1" x14ac:dyDescent="0.2">
      <c r="B635" s="63"/>
      <c r="D635" s="14"/>
      <c r="E635" s="63"/>
    </row>
    <row r="636" spans="2:5" ht="15.75" customHeight="1" x14ac:dyDescent="0.2">
      <c r="B636" s="63"/>
      <c r="D636" s="14"/>
      <c r="E636" s="63"/>
    </row>
    <row r="637" spans="2:5" ht="15.75" customHeight="1" x14ac:dyDescent="0.2">
      <c r="B637" s="63"/>
      <c r="D637" s="14"/>
      <c r="E637" s="63"/>
    </row>
    <row r="638" spans="2:5" ht="15.75" customHeight="1" x14ac:dyDescent="0.2">
      <c r="B638" s="63"/>
      <c r="D638" s="14"/>
      <c r="E638" s="63"/>
    </row>
    <row r="639" spans="2:5" ht="15.75" customHeight="1" x14ac:dyDescent="0.2">
      <c r="B639" s="63"/>
      <c r="D639" s="14"/>
      <c r="E639" s="63"/>
    </row>
    <row r="640" spans="2:5" ht="15.75" customHeight="1" x14ac:dyDescent="0.2">
      <c r="B640" s="63"/>
      <c r="D640" s="14"/>
      <c r="E640" s="63"/>
    </row>
    <row r="641" spans="2:5" ht="15.75" customHeight="1" x14ac:dyDescent="0.2">
      <c r="B641" s="63"/>
      <c r="D641" s="14"/>
      <c r="E641" s="63"/>
    </row>
    <row r="642" spans="2:5" ht="15.75" customHeight="1" x14ac:dyDescent="0.2">
      <c r="B642" s="63"/>
      <c r="D642" s="14"/>
      <c r="E642" s="63"/>
    </row>
    <row r="643" spans="2:5" ht="15.75" customHeight="1" x14ac:dyDescent="0.2">
      <c r="B643" s="63"/>
      <c r="D643" s="14"/>
      <c r="E643" s="63"/>
    </row>
    <row r="644" spans="2:5" ht="15.75" customHeight="1" x14ac:dyDescent="0.2">
      <c r="B644" s="63"/>
      <c r="D644" s="14"/>
      <c r="E644" s="63"/>
    </row>
    <row r="645" spans="2:5" ht="15.75" customHeight="1" x14ac:dyDescent="0.2">
      <c r="B645" s="63"/>
      <c r="D645" s="14"/>
      <c r="E645" s="63"/>
    </row>
    <row r="646" spans="2:5" ht="15.75" customHeight="1" x14ac:dyDescent="0.2">
      <c r="B646" s="63"/>
      <c r="D646" s="14"/>
      <c r="E646" s="63"/>
    </row>
    <row r="647" spans="2:5" ht="15.75" customHeight="1" x14ac:dyDescent="0.2">
      <c r="B647" s="63"/>
      <c r="D647" s="14"/>
      <c r="E647" s="63"/>
    </row>
    <row r="648" spans="2:5" ht="15.75" customHeight="1" x14ac:dyDescent="0.2">
      <c r="B648" s="63"/>
      <c r="D648" s="14"/>
      <c r="E648" s="63"/>
    </row>
    <row r="649" spans="2:5" ht="15.75" customHeight="1" x14ac:dyDescent="0.2">
      <c r="B649" s="63"/>
      <c r="D649" s="14"/>
      <c r="E649" s="63"/>
    </row>
    <row r="650" spans="2:5" ht="15.75" customHeight="1" x14ac:dyDescent="0.2">
      <c r="B650" s="63"/>
      <c r="D650" s="14"/>
      <c r="E650" s="63"/>
    </row>
    <row r="651" spans="2:5" ht="15.75" customHeight="1" x14ac:dyDescent="0.2">
      <c r="B651" s="63"/>
      <c r="D651" s="14"/>
      <c r="E651" s="63"/>
    </row>
    <row r="652" spans="2:5" ht="15.75" customHeight="1" x14ac:dyDescent="0.2">
      <c r="B652" s="63"/>
      <c r="D652" s="14"/>
      <c r="E652" s="63"/>
    </row>
    <row r="653" spans="2:5" ht="15.75" customHeight="1" x14ac:dyDescent="0.2">
      <c r="B653" s="63"/>
      <c r="D653" s="14"/>
      <c r="E653" s="63"/>
    </row>
    <row r="654" spans="2:5" ht="15.75" customHeight="1" x14ac:dyDescent="0.2">
      <c r="B654" s="63"/>
      <c r="D654" s="14"/>
      <c r="E654" s="63"/>
    </row>
    <row r="655" spans="2:5" ht="15.75" customHeight="1" x14ac:dyDescent="0.2">
      <c r="B655" s="63"/>
      <c r="D655" s="14"/>
      <c r="E655" s="63"/>
    </row>
    <row r="656" spans="2:5" ht="15.75" customHeight="1" x14ac:dyDescent="0.2">
      <c r="B656" s="63"/>
      <c r="D656" s="14"/>
      <c r="E656" s="63"/>
    </row>
    <row r="657" spans="2:5" ht="15.75" customHeight="1" x14ac:dyDescent="0.2">
      <c r="B657" s="63"/>
      <c r="D657" s="14"/>
      <c r="E657" s="63"/>
    </row>
    <row r="658" spans="2:5" ht="15.75" customHeight="1" x14ac:dyDescent="0.2">
      <c r="B658" s="63"/>
      <c r="D658" s="14"/>
      <c r="E658" s="63"/>
    </row>
    <row r="659" spans="2:5" ht="15.75" customHeight="1" x14ac:dyDescent="0.2">
      <c r="B659" s="63"/>
      <c r="D659" s="14"/>
      <c r="E659" s="63"/>
    </row>
    <row r="660" spans="2:5" ht="15.75" customHeight="1" x14ac:dyDescent="0.2">
      <c r="B660" s="63"/>
      <c r="D660" s="14"/>
      <c r="E660" s="63"/>
    </row>
    <row r="661" spans="2:5" ht="15.75" customHeight="1" x14ac:dyDescent="0.2">
      <c r="B661" s="63"/>
      <c r="D661" s="14"/>
      <c r="E661" s="63"/>
    </row>
    <row r="662" spans="2:5" ht="15.75" customHeight="1" x14ac:dyDescent="0.2">
      <c r="B662" s="63"/>
      <c r="D662" s="14"/>
      <c r="E662" s="63"/>
    </row>
    <row r="663" spans="2:5" ht="15.75" customHeight="1" x14ac:dyDescent="0.2">
      <c r="B663" s="63"/>
      <c r="D663" s="14"/>
      <c r="E663" s="63"/>
    </row>
    <row r="664" spans="2:5" ht="15.75" customHeight="1" x14ac:dyDescent="0.2">
      <c r="B664" s="63"/>
      <c r="D664" s="14"/>
      <c r="E664" s="63"/>
    </row>
    <row r="665" spans="2:5" ht="15.75" customHeight="1" x14ac:dyDescent="0.2">
      <c r="B665" s="63"/>
      <c r="D665" s="14"/>
      <c r="E665" s="63"/>
    </row>
    <row r="666" spans="2:5" ht="15.75" customHeight="1" x14ac:dyDescent="0.2">
      <c r="B666" s="63"/>
      <c r="D666" s="14"/>
      <c r="E666" s="63"/>
    </row>
    <row r="667" spans="2:5" ht="15.75" customHeight="1" x14ac:dyDescent="0.2">
      <c r="B667" s="63"/>
      <c r="D667" s="14"/>
      <c r="E667" s="63"/>
    </row>
    <row r="668" spans="2:5" ht="15.75" customHeight="1" x14ac:dyDescent="0.2">
      <c r="B668" s="63"/>
      <c r="D668" s="14"/>
      <c r="E668" s="63"/>
    </row>
    <row r="669" spans="2:5" ht="15.75" customHeight="1" x14ac:dyDescent="0.2">
      <c r="B669" s="63"/>
      <c r="D669" s="14"/>
      <c r="E669" s="63"/>
    </row>
    <row r="670" spans="2:5" ht="15.75" customHeight="1" x14ac:dyDescent="0.2">
      <c r="B670" s="63"/>
      <c r="D670" s="14"/>
      <c r="E670" s="63"/>
    </row>
    <row r="671" spans="2:5" ht="15.75" customHeight="1" x14ac:dyDescent="0.2">
      <c r="B671" s="63"/>
      <c r="D671" s="14"/>
      <c r="E671" s="63"/>
    </row>
    <row r="672" spans="2:5" ht="15.75" customHeight="1" x14ac:dyDescent="0.2">
      <c r="B672" s="63"/>
      <c r="D672" s="14"/>
      <c r="E672" s="63"/>
    </row>
    <row r="673" spans="2:5" ht="15.75" customHeight="1" x14ac:dyDescent="0.2">
      <c r="B673" s="63"/>
      <c r="D673" s="14"/>
      <c r="E673" s="63"/>
    </row>
    <row r="674" spans="2:5" ht="15.75" customHeight="1" x14ac:dyDescent="0.2">
      <c r="B674" s="63"/>
      <c r="D674" s="14"/>
      <c r="E674" s="63"/>
    </row>
    <row r="675" spans="2:5" ht="15.75" customHeight="1" x14ac:dyDescent="0.2">
      <c r="B675" s="63"/>
      <c r="D675" s="14"/>
      <c r="E675" s="63"/>
    </row>
    <row r="676" spans="2:5" ht="15.75" customHeight="1" x14ac:dyDescent="0.2">
      <c r="B676" s="63"/>
      <c r="D676" s="14"/>
      <c r="E676" s="63"/>
    </row>
    <row r="677" spans="2:5" ht="15.75" customHeight="1" x14ac:dyDescent="0.2">
      <c r="B677" s="63"/>
      <c r="D677" s="14"/>
      <c r="E677" s="63"/>
    </row>
    <row r="678" spans="2:5" ht="15.75" customHeight="1" x14ac:dyDescent="0.2">
      <c r="B678" s="63"/>
      <c r="D678" s="14"/>
      <c r="E678" s="63"/>
    </row>
    <row r="679" spans="2:5" ht="15.75" customHeight="1" x14ac:dyDescent="0.2">
      <c r="B679" s="63"/>
      <c r="D679" s="14"/>
      <c r="E679" s="63"/>
    </row>
    <row r="680" spans="2:5" ht="15.75" customHeight="1" x14ac:dyDescent="0.2">
      <c r="B680" s="63"/>
      <c r="D680" s="14"/>
      <c r="E680" s="63"/>
    </row>
    <row r="681" spans="2:5" ht="15.75" customHeight="1" x14ac:dyDescent="0.2">
      <c r="B681" s="63"/>
      <c r="D681" s="14"/>
      <c r="E681" s="63"/>
    </row>
    <row r="682" spans="2:5" ht="15.75" customHeight="1" x14ac:dyDescent="0.2">
      <c r="B682" s="63"/>
      <c r="D682" s="14"/>
      <c r="E682" s="63"/>
    </row>
    <row r="683" spans="2:5" ht="15.75" customHeight="1" x14ac:dyDescent="0.2">
      <c r="B683" s="63"/>
      <c r="D683" s="14"/>
      <c r="E683" s="63"/>
    </row>
    <row r="684" spans="2:5" ht="15.75" customHeight="1" x14ac:dyDescent="0.2">
      <c r="B684" s="63"/>
      <c r="D684" s="14"/>
      <c r="E684" s="63"/>
    </row>
    <row r="685" spans="2:5" ht="15.75" customHeight="1" x14ac:dyDescent="0.2">
      <c r="B685" s="63"/>
      <c r="D685" s="14"/>
      <c r="E685" s="63"/>
    </row>
    <row r="686" spans="2:5" ht="15.75" customHeight="1" x14ac:dyDescent="0.2">
      <c r="B686" s="63"/>
      <c r="D686" s="14"/>
      <c r="E686" s="63"/>
    </row>
    <row r="687" spans="2:5" ht="15.75" customHeight="1" x14ac:dyDescent="0.2">
      <c r="B687" s="63"/>
      <c r="D687" s="14"/>
      <c r="E687" s="63"/>
    </row>
    <row r="688" spans="2:5" ht="15.75" customHeight="1" x14ac:dyDescent="0.2">
      <c r="B688" s="63"/>
      <c r="D688" s="14"/>
      <c r="E688" s="63"/>
    </row>
    <row r="689" spans="2:5" ht="15.75" customHeight="1" x14ac:dyDescent="0.2">
      <c r="B689" s="63"/>
      <c r="D689" s="14"/>
      <c r="E689" s="63"/>
    </row>
    <row r="690" spans="2:5" ht="15.75" customHeight="1" x14ac:dyDescent="0.2">
      <c r="B690" s="63"/>
      <c r="D690" s="14"/>
      <c r="E690" s="63"/>
    </row>
    <row r="691" spans="2:5" ht="15.75" customHeight="1" x14ac:dyDescent="0.2">
      <c r="B691" s="63"/>
      <c r="D691" s="14"/>
      <c r="E691" s="63"/>
    </row>
    <row r="692" spans="2:5" ht="15.75" customHeight="1" x14ac:dyDescent="0.2">
      <c r="B692" s="63"/>
      <c r="D692" s="14"/>
      <c r="E692" s="63"/>
    </row>
    <row r="693" spans="2:5" ht="15.75" customHeight="1" x14ac:dyDescent="0.2">
      <c r="B693" s="63"/>
      <c r="D693" s="14"/>
      <c r="E693" s="63"/>
    </row>
    <row r="694" spans="2:5" ht="15.75" customHeight="1" x14ac:dyDescent="0.2">
      <c r="B694" s="63"/>
      <c r="D694" s="14"/>
      <c r="E694" s="63"/>
    </row>
    <row r="695" spans="2:5" ht="15.75" customHeight="1" x14ac:dyDescent="0.2">
      <c r="B695" s="63"/>
      <c r="D695" s="14"/>
      <c r="E695" s="63"/>
    </row>
    <row r="696" spans="2:5" ht="15.75" customHeight="1" x14ac:dyDescent="0.2">
      <c r="B696" s="63"/>
      <c r="D696" s="14"/>
      <c r="E696" s="63"/>
    </row>
    <row r="697" spans="2:5" ht="15.75" customHeight="1" x14ac:dyDescent="0.2">
      <c r="B697" s="63"/>
      <c r="D697" s="14"/>
      <c r="E697" s="63"/>
    </row>
    <row r="698" spans="2:5" ht="15.75" customHeight="1" x14ac:dyDescent="0.2">
      <c r="B698" s="63"/>
      <c r="D698" s="14"/>
      <c r="E698" s="63"/>
    </row>
    <row r="699" spans="2:5" ht="15.75" customHeight="1" x14ac:dyDescent="0.2">
      <c r="B699" s="63"/>
      <c r="D699" s="14"/>
      <c r="E699" s="63"/>
    </row>
    <row r="700" spans="2:5" ht="15.75" customHeight="1" x14ac:dyDescent="0.2">
      <c r="B700" s="63"/>
      <c r="D700" s="14"/>
      <c r="E700" s="63"/>
    </row>
    <row r="701" spans="2:5" ht="15.75" customHeight="1" x14ac:dyDescent="0.2">
      <c r="B701" s="63"/>
      <c r="D701" s="14"/>
      <c r="E701" s="63"/>
    </row>
    <row r="702" spans="2:5" ht="15.75" customHeight="1" x14ac:dyDescent="0.2">
      <c r="B702" s="63"/>
      <c r="D702" s="14"/>
      <c r="E702" s="63"/>
    </row>
    <row r="703" spans="2:5" ht="15.75" customHeight="1" x14ac:dyDescent="0.2">
      <c r="B703" s="63"/>
      <c r="D703" s="14"/>
      <c r="E703" s="63"/>
    </row>
    <row r="704" spans="2:5" ht="15.75" customHeight="1" x14ac:dyDescent="0.2">
      <c r="B704" s="63"/>
      <c r="D704" s="14"/>
      <c r="E704" s="63"/>
    </row>
    <row r="705" spans="2:5" ht="15.75" customHeight="1" x14ac:dyDescent="0.2">
      <c r="B705" s="63"/>
      <c r="D705" s="14"/>
      <c r="E705" s="63"/>
    </row>
    <row r="706" spans="2:5" ht="15.75" customHeight="1" x14ac:dyDescent="0.2">
      <c r="B706" s="63"/>
      <c r="D706" s="14"/>
      <c r="E706" s="63"/>
    </row>
    <row r="707" spans="2:5" ht="15.75" customHeight="1" x14ac:dyDescent="0.2">
      <c r="B707" s="63"/>
      <c r="D707" s="14"/>
      <c r="E707" s="63"/>
    </row>
    <row r="708" spans="2:5" ht="15.75" customHeight="1" x14ac:dyDescent="0.2">
      <c r="B708" s="63"/>
      <c r="D708" s="14"/>
      <c r="E708" s="63"/>
    </row>
    <row r="709" spans="2:5" ht="15.75" customHeight="1" x14ac:dyDescent="0.2">
      <c r="B709" s="63"/>
      <c r="D709" s="14"/>
      <c r="E709" s="63"/>
    </row>
    <row r="710" spans="2:5" ht="15.75" customHeight="1" x14ac:dyDescent="0.2">
      <c r="B710" s="63"/>
      <c r="D710" s="14"/>
      <c r="E710" s="63"/>
    </row>
    <row r="711" spans="2:5" ht="15.75" customHeight="1" x14ac:dyDescent="0.2">
      <c r="B711" s="63"/>
      <c r="D711" s="14"/>
      <c r="E711" s="63"/>
    </row>
    <row r="712" spans="2:5" ht="15.75" customHeight="1" x14ac:dyDescent="0.2">
      <c r="B712" s="63"/>
      <c r="D712" s="14"/>
      <c r="E712" s="63"/>
    </row>
    <row r="713" spans="2:5" ht="15.75" customHeight="1" x14ac:dyDescent="0.2">
      <c r="B713" s="63"/>
      <c r="D713" s="14"/>
      <c r="E713" s="63"/>
    </row>
    <row r="714" spans="2:5" ht="15.75" customHeight="1" x14ac:dyDescent="0.2">
      <c r="B714" s="63"/>
      <c r="D714" s="14"/>
      <c r="E714" s="63"/>
    </row>
    <row r="715" spans="2:5" ht="15.75" customHeight="1" x14ac:dyDescent="0.2">
      <c r="B715" s="63"/>
      <c r="D715" s="14"/>
      <c r="E715" s="63"/>
    </row>
    <row r="716" spans="2:5" ht="15.75" customHeight="1" x14ac:dyDescent="0.2">
      <c r="B716" s="63"/>
      <c r="D716" s="14"/>
      <c r="E716" s="63"/>
    </row>
    <row r="717" spans="2:5" ht="15.75" customHeight="1" x14ac:dyDescent="0.2">
      <c r="B717" s="63"/>
      <c r="D717" s="14"/>
      <c r="E717" s="63"/>
    </row>
    <row r="718" spans="2:5" ht="15.75" customHeight="1" x14ac:dyDescent="0.2">
      <c r="B718" s="63"/>
      <c r="D718" s="14"/>
      <c r="E718" s="63"/>
    </row>
    <row r="719" spans="2:5" ht="15.75" customHeight="1" x14ac:dyDescent="0.2">
      <c r="B719" s="63"/>
      <c r="D719" s="14"/>
      <c r="E719" s="63"/>
    </row>
    <row r="720" spans="2:5" ht="15.75" customHeight="1" x14ac:dyDescent="0.2">
      <c r="B720" s="63"/>
      <c r="D720" s="14"/>
      <c r="E720" s="63"/>
    </row>
    <row r="721" spans="2:5" ht="15.75" customHeight="1" x14ac:dyDescent="0.2">
      <c r="B721" s="63"/>
      <c r="D721" s="14"/>
      <c r="E721" s="63"/>
    </row>
    <row r="722" spans="2:5" ht="15.75" customHeight="1" x14ac:dyDescent="0.2">
      <c r="B722" s="63"/>
      <c r="D722" s="14"/>
      <c r="E722" s="63"/>
    </row>
    <row r="723" spans="2:5" ht="15.75" customHeight="1" x14ac:dyDescent="0.2">
      <c r="B723" s="63"/>
      <c r="D723" s="14"/>
      <c r="E723" s="63"/>
    </row>
    <row r="724" spans="2:5" ht="15.75" customHeight="1" x14ac:dyDescent="0.2">
      <c r="B724" s="63"/>
      <c r="D724" s="14"/>
      <c r="E724" s="63"/>
    </row>
    <row r="725" spans="2:5" ht="15.75" customHeight="1" x14ac:dyDescent="0.2">
      <c r="B725" s="63"/>
      <c r="D725" s="14"/>
      <c r="E725" s="63"/>
    </row>
    <row r="726" spans="2:5" ht="15.75" customHeight="1" x14ac:dyDescent="0.2">
      <c r="B726" s="63"/>
      <c r="D726" s="14"/>
      <c r="E726" s="63"/>
    </row>
    <row r="727" spans="2:5" ht="15.75" customHeight="1" x14ac:dyDescent="0.2">
      <c r="B727" s="63"/>
      <c r="D727" s="14"/>
      <c r="E727" s="63"/>
    </row>
    <row r="728" spans="2:5" ht="15.75" customHeight="1" x14ac:dyDescent="0.2">
      <c r="B728" s="63"/>
      <c r="D728" s="14"/>
      <c r="E728" s="63"/>
    </row>
    <row r="729" spans="2:5" ht="15.75" customHeight="1" x14ac:dyDescent="0.2">
      <c r="B729" s="63"/>
      <c r="D729" s="14"/>
      <c r="E729" s="63"/>
    </row>
    <row r="730" spans="2:5" ht="15.75" customHeight="1" x14ac:dyDescent="0.2">
      <c r="B730" s="63"/>
      <c r="D730" s="14"/>
      <c r="E730" s="63"/>
    </row>
    <row r="731" spans="2:5" ht="15.75" customHeight="1" x14ac:dyDescent="0.2">
      <c r="B731" s="63"/>
      <c r="D731" s="14"/>
      <c r="E731" s="63"/>
    </row>
    <row r="732" spans="2:5" ht="15.75" customHeight="1" x14ac:dyDescent="0.2">
      <c r="B732" s="63"/>
      <c r="D732" s="14"/>
      <c r="E732" s="63"/>
    </row>
    <row r="733" spans="2:5" ht="15.75" customHeight="1" x14ac:dyDescent="0.2">
      <c r="B733" s="63"/>
      <c r="D733" s="14"/>
      <c r="E733" s="63"/>
    </row>
    <row r="734" spans="2:5" ht="15.75" customHeight="1" x14ac:dyDescent="0.2">
      <c r="B734" s="63"/>
      <c r="D734" s="14"/>
      <c r="E734" s="63"/>
    </row>
    <row r="735" spans="2:5" ht="15.75" customHeight="1" x14ac:dyDescent="0.2">
      <c r="B735" s="63"/>
      <c r="D735" s="14"/>
      <c r="E735" s="63"/>
    </row>
    <row r="736" spans="2:5" ht="15.75" customHeight="1" x14ac:dyDescent="0.2">
      <c r="B736" s="63"/>
      <c r="D736" s="14"/>
      <c r="E736" s="63"/>
    </row>
    <row r="737" spans="2:5" ht="15.75" customHeight="1" x14ac:dyDescent="0.2">
      <c r="B737" s="63"/>
      <c r="D737" s="14"/>
      <c r="E737" s="63"/>
    </row>
    <row r="738" spans="2:5" ht="15.75" customHeight="1" x14ac:dyDescent="0.2">
      <c r="B738" s="63"/>
      <c r="D738" s="14"/>
      <c r="E738" s="63"/>
    </row>
    <row r="739" spans="2:5" ht="15.75" customHeight="1" x14ac:dyDescent="0.2">
      <c r="B739" s="63"/>
      <c r="D739" s="14"/>
      <c r="E739" s="63"/>
    </row>
    <row r="740" spans="2:5" ht="15.75" customHeight="1" x14ac:dyDescent="0.2">
      <c r="B740" s="63"/>
      <c r="D740" s="14"/>
      <c r="E740" s="63"/>
    </row>
    <row r="741" spans="2:5" ht="15.75" customHeight="1" x14ac:dyDescent="0.2">
      <c r="B741" s="63"/>
      <c r="D741" s="14"/>
      <c r="E741" s="63"/>
    </row>
    <row r="742" spans="2:5" ht="15.75" customHeight="1" x14ac:dyDescent="0.2">
      <c r="B742" s="63"/>
      <c r="D742" s="14"/>
      <c r="E742" s="63"/>
    </row>
    <row r="743" spans="2:5" ht="15.75" customHeight="1" x14ac:dyDescent="0.2">
      <c r="B743" s="63"/>
      <c r="D743" s="14"/>
      <c r="E743" s="63"/>
    </row>
    <row r="744" spans="2:5" ht="15.75" customHeight="1" x14ac:dyDescent="0.2">
      <c r="B744" s="63"/>
      <c r="D744" s="14"/>
      <c r="E744" s="63"/>
    </row>
    <row r="745" spans="2:5" ht="15.75" customHeight="1" x14ac:dyDescent="0.2">
      <c r="B745" s="63"/>
      <c r="D745" s="14"/>
      <c r="E745" s="63"/>
    </row>
    <row r="746" spans="2:5" ht="15.75" customHeight="1" x14ac:dyDescent="0.2">
      <c r="B746" s="63"/>
      <c r="D746" s="14"/>
      <c r="E746" s="63"/>
    </row>
    <row r="747" spans="2:5" ht="15.75" customHeight="1" x14ac:dyDescent="0.2">
      <c r="B747" s="63"/>
      <c r="D747" s="14"/>
      <c r="E747" s="63"/>
    </row>
    <row r="748" spans="2:5" ht="15.75" customHeight="1" x14ac:dyDescent="0.2">
      <c r="B748" s="63"/>
      <c r="D748" s="14"/>
      <c r="E748" s="63"/>
    </row>
    <row r="749" spans="2:5" ht="15.75" customHeight="1" x14ac:dyDescent="0.2">
      <c r="B749" s="63"/>
      <c r="D749" s="14"/>
      <c r="E749" s="63"/>
    </row>
    <row r="750" spans="2:5" ht="15.75" customHeight="1" x14ac:dyDescent="0.2">
      <c r="B750" s="63"/>
      <c r="D750" s="14"/>
      <c r="E750" s="63"/>
    </row>
    <row r="751" spans="2:5" ht="15.75" customHeight="1" x14ac:dyDescent="0.2">
      <c r="B751" s="63"/>
      <c r="D751" s="14"/>
      <c r="E751" s="63"/>
    </row>
    <row r="752" spans="2:5" ht="15.75" customHeight="1" x14ac:dyDescent="0.2">
      <c r="B752" s="63"/>
      <c r="D752" s="14"/>
      <c r="E752" s="63"/>
    </row>
    <row r="753" spans="2:5" ht="15.75" customHeight="1" x14ac:dyDescent="0.2">
      <c r="B753" s="63"/>
      <c r="D753" s="14"/>
      <c r="E753" s="63"/>
    </row>
    <row r="754" spans="2:5" ht="15.75" customHeight="1" x14ac:dyDescent="0.2">
      <c r="B754" s="63"/>
      <c r="D754" s="14"/>
      <c r="E754" s="63"/>
    </row>
    <row r="755" spans="2:5" ht="15.75" customHeight="1" x14ac:dyDescent="0.2">
      <c r="B755" s="63"/>
      <c r="D755" s="14"/>
      <c r="E755" s="63"/>
    </row>
    <row r="756" spans="2:5" ht="15.75" customHeight="1" x14ac:dyDescent="0.2">
      <c r="B756" s="63"/>
      <c r="D756" s="14"/>
      <c r="E756" s="63"/>
    </row>
    <row r="757" spans="2:5" ht="15.75" customHeight="1" x14ac:dyDescent="0.2">
      <c r="B757" s="63"/>
      <c r="D757" s="14"/>
      <c r="E757" s="63"/>
    </row>
    <row r="758" spans="2:5" ht="15.75" customHeight="1" x14ac:dyDescent="0.2">
      <c r="B758" s="63"/>
      <c r="D758" s="14"/>
      <c r="E758" s="63"/>
    </row>
    <row r="759" spans="2:5" ht="15.75" customHeight="1" x14ac:dyDescent="0.2">
      <c r="B759" s="63"/>
      <c r="D759" s="14"/>
      <c r="E759" s="63"/>
    </row>
    <row r="760" spans="2:5" ht="15.75" customHeight="1" x14ac:dyDescent="0.2">
      <c r="B760" s="63"/>
      <c r="D760" s="14"/>
      <c r="E760" s="63"/>
    </row>
    <row r="761" spans="2:5" ht="15.75" customHeight="1" x14ac:dyDescent="0.2">
      <c r="B761" s="63"/>
      <c r="D761" s="14"/>
      <c r="E761" s="63"/>
    </row>
    <row r="762" spans="2:5" ht="15.75" customHeight="1" x14ac:dyDescent="0.2">
      <c r="B762" s="63"/>
      <c r="D762" s="14"/>
      <c r="E762" s="63"/>
    </row>
    <row r="763" spans="2:5" ht="15.75" customHeight="1" x14ac:dyDescent="0.2">
      <c r="B763" s="63"/>
      <c r="D763" s="14"/>
      <c r="E763" s="63"/>
    </row>
    <row r="764" spans="2:5" ht="15.75" customHeight="1" x14ac:dyDescent="0.2">
      <c r="B764" s="63"/>
      <c r="D764" s="14"/>
      <c r="E764" s="63"/>
    </row>
    <row r="765" spans="2:5" ht="15.75" customHeight="1" x14ac:dyDescent="0.2">
      <c r="B765" s="63"/>
      <c r="D765" s="14"/>
      <c r="E765" s="63"/>
    </row>
    <row r="766" spans="2:5" ht="15.75" customHeight="1" x14ac:dyDescent="0.2">
      <c r="B766" s="63"/>
      <c r="D766" s="14"/>
      <c r="E766" s="63"/>
    </row>
    <row r="767" spans="2:5" ht="15.75" customHeight="1" x14ac:dyDescent="0.2">
      <c r="B767" s="63"/>
      <c r="D767" s="14"/>
      <c r="E767" s="63"/>
    </row>
    <row r="768" spans="2:5" ht="15.75" customHeight="1" x14ac:dyDescent="0.2">
      <c r="B768" s="63"/>
      <c r="D768" s="14"/>
      <c r="E768" s="63"/>
    </row>
    <row r="769" spans="2:5" ht="15.75" customHeight="1" x14ac:dyDescent="0.2">
      <c r="B769" s="63"/>
      <c r="D769" s="14"/>
      <c r="E769" s="63"/>
    </row>
    <row r="770" spans="2:5" ht="15.75" customHeight="1" x14ac:dyDescent="0.2">
      <c r="B770" s="63"/>
      <c r="D770" s="14"/>
      <c r="E770" s="63"/>
    </row>
    <row r="771" spans="2:5" ht="15.75" customHeight="1" x14ac:dyDescent="0.2">
      <c r="B771" s="63"/>
      <c r="D771" s="14"/>
      <c r="E771" s="63"/>
    </row>
    <row r="772" spans="2:5" ht="15.75" customHeight="1" x14ac:dyDescent="0.2">
      <c r="B772" s="63"/>
      <c r="D772" s="14"/>
      <c r="E772" s="63"/>
    </row>
    <row r="773" spans="2:5" ht="15.75" customHeight="1" x14ac:dyDescent="0.2">
      <c r="B773" s="63"/>
      <c r="D773" s="14"/>
      <c r="E773" s="63"/>
    </row>
    <row r="774" spans="2:5" ht="15.75" customHeight="1" x14ac:dyDescent="0.2">
      <c r="B774" s="63"/>
      <c r="D774" s="14"/>
      <c r="E774" s="63"/>
    </row>
    <row r="775" spans="2:5" ht="15.75" customHeight="1" x14ac:dyDescent="0.2">
      <c r="B775" s="63"/>
      <c r="D775" s="14"/>
      <c r="E775" s="63"/>
    </row>
    <row r="776" spans="2:5" ht="15.75" customHeight="1" x14ac:dyDescent="0.2">
      <c r="B776" s="63"/>
      <c r="D776" s="14"/>
      <c r="E776" s="63"/>
    </row>
    <row r="777" spans="2:5" ht="15.75" customHeight="1" x14ac:dyDescent="0.2">
      <c r="B777" s="63"/>
      <c r="D777" s="14"/>
      <c r="E777" s="63"/>
    </row>
    <row r="778" spans="2:5" ht="15.75" customHeight="1" x14ac:dyDescent="0.2">
      <c r="B778" s="63"/>
      <c r="D778" s="14"/>
      <c r="E778" s="63"/>
    </row>
    <row r="779" spans="2:5" ht="15.75" customHeight="1" x14ac:dyDescent="0.2">
      <c r="B779" s="63"/>
      <c r="D779" s="14"/>
      <c r="E779" s="63"/>
    </row>
    <row r="780" spans="2:5" ht="15.75" customHeight="1" x14ac:dyDescent="0.2">
      <c r="B780" s="63"/>
      <c r="D780" s="14"/>
      <c r="E780" s="63"/>
    </row>
    <row r="781" spans="2:5" ht="15.75" customHeight="1" x14ac:dyDescent="0.2">
      <c r="B781" s="63"/>
      <c r="D781" s="14"/>
      <c r="E781" s="63"/>
    </row>
    <row r="782" spans="2:5" ht="15.75" customHeight="1" x14ac:dyDescent="0.2">
      <c r="B782" s="63"/>
      <c r="D782" s="14"/>
      <c r="E782" s="63"/>
    </row>
    <row r="783" spans="2:5" ht="15.75" customHeight="1" x14ac:dyDescent="0.2">
      <c r="B783" s="63"/>
      <c r="D783" s="14"/>
      <c r="E783" s="63"/>
    </row>
    <row r="784" spans="2:5" ht="15.75" customHeight="1" x14ac:dyDescent="0.2">
      <c r="B784" s="63"/>
      <c r="D784" s="14"/>
      <c r="E784" s="63"/>
    </row>
    <row r="785" spans="2:5" ht="15.75" customHeight="1" x14ac:dyDescent="0.2">
      <c r="B785" s="63"/>
      <c r="D785" s="14"/>
      <c r="E785" s="63"/>
    </row>
    <row r="786" spans="2:5" ht="15.75" customHeight="1" x14ac:dyDescent="0.2">
      <c r="B786" s="63"/>
      <c r="D786" s="14"/>
      <c r="E786" s="63"/>
    </row>
    <row r="787" spans="2:5" ht="15.75" customHeight="1" x14ac:dyDescent="0.2">
      <c r="B787" s="63"/>
      <c r="D787" s="14"/>
      <c r="E787" s="63"/>
    </row>
    <row r="788" spans="2:5" ht="15.75" customHeight="1" x14ac:dyDescent="0.2">
      <c r="B788" s="63"/>
      <c r="D788" s="14"/>
      <c r="E788" s="63"/>
    </row>
    <row r="789" spans="2:5" ht="15.75" customHeight="1" x14ac:dyDescent="0.2">
      <c r="B789" s="63"/>
      <c r="D789" s="14"/>
      <c r="E789" s="63"/>
    </row>
    <row r="790" spans="2:5" ht="15.75" customHeight="1" x14ac:dyDescent="0.2">
      <c r="B790" s="63"/>
      <c r="D790" s="14"/>
      <c r="E790" s="63"/>
    </row>
    <row r="791" spans="2:5" ht="15.75" customHeight="1" x14ac:dyDescent="0.2">
      <c r="B791" s="63"/>
      <c r="D791" s="14"/>
      <c r="E791" s="63"/>
    </row>
    <row r="792" spans="2:5" ht="15.75" customHeight="1" x14ac:dyDescent="0.2">
      <c r="B792" s="63"/>
      <c r="D792" s="14"/>
      <c r="E792" s="63"/>
    </row>
    <row r="793" spans="2:5" ht="15.75" customHeight="1" x14ac:dyDescent="0.2">
      <c r="B793" s="63"/>
      <c r="D793" s="14"/>
      <c r="E793" s="63"/>
    </row>
    <row r="794" spans="2:5" ht="15.75" customHeight="1" x14ac:dyDescent="0.2">
      <c r="B794" s="63"/>
      <c r="D794" s="14"/>
      <c r="E794" s="63"/>
    </row>
    <row r="795" spans="2:5" ht="15.75" customHeight="1" x14ac:dyDescent="0.2">
      <c r="B795" s="63"/>
      <c r="D795" s="14"/>
      <c r="E795" s="63"/>
    </row>
    <row r="796" spans="2:5" ht="15.75" customHeight="1" x14ac:dyDescent="0.2">
      <c r="B796" s="63"/>
      <c r="D796" s="14"/>
      <c r="E796" s="63"/>
    </row>
    <row r="797" spans="2:5" ht="15.75" customHeight="1" x14ac:dyDescent="0.2">
      <c r="B797" s="63"/>
      <c r="D797" s="14"/>
      <c r="E797" s="63"/>
    </row>
    <row r="798" spans="2:5" ht="15.75" customHeight="1" x14ac:dyDescent="0.2">
      <c r="B798" s="63"/>
      <c r="D798" s="14"/>
      <c r="E798" s="63"/>
    </row>
    <row r="799" spans="2:5" ht="15.75" customHeight="1" x14ac:dyDescent="0.2">
      <c r="B799" s="63"/>
      <c r="D799" s="14"/>
      <c r="E799" s="63"/>
    </row>
    <row r="800" spans="2:5" ht="15.75" customHeight="1" x14ac:dyDescent="0.2">
      <c r="B800" s="63"/>
      <c r="D800" s="14"/>
      <c r="E800" s="63"/>
    </row>
    <row r="801" spans="2:5" ht="15.75" customHeight="1" x14ac:dyDescent="0.2">
      <c r="B801" s="63"/>
      <c r="D801" s="14"/>
      <c r="E801" s="63"/>
    </row>
    <row r="802" spans="2:5" ht="15.75" customHeight="1" x14ac:dyDescent="0.2">
      <c r="B802" s="63"/>
      <c r="D802" s="14"/>
      <c r="E802" s="63"/>
    </row>
    <row r="803" spans="2:5" ht="15.75" customHeight="1" x14ac:dyDescent="0.2">
      <c r="B803" s="63"/>
      <c r="D803" s="14"/>
      <c r="E803" s="63"/>
    </row>
    <row r="804" spans="2:5" ht="15.75" customHeight="1" x14ac:dyDescent="0.2">
      <c r="B804" s="63"/>
      <c r="D804" s="14"/>
      <c r="E804" s="63"/>
    </row>
    <row r="805" spans="2:5" ht="15.75" customHeight="1" x14ac:dyDescent="0.2">
      <c r="B805" s="63"/>
      <c r="D805" s="14"/>
      <c r="E805" s="63"/>
    </row>
    <row r="806" spans="2:5" ht="15.75" customHeight="1" x14ac:dyDescent="0.2">
      <c r="B806" s="63"/>
      <c r="D806" s="14"/>
      <c r="E806" s="63"/>
    </row>
    <row r="807" spans="2:5" ht="15.75" customHeight="1" x14ac:dyDescent="0.2">
      <c r="B807" s="63"/>
      <c r="D807" s="14"/>
      <c r="E807" s="63"/>
    </row>
    <row r="808" spans="2:5" ht="15.75" customHeight="1" x14ac:dyDescent="0.2">
      <c r="B808" s="63"/>
      <c r="D808" s="14"/>
      <c r="E808" s="63"/>
    </row>
    <row r="809" spans="2:5" ht="15.75" customHeight="1" x14ac:dyDescent="0.2">
      <c r="B809" s="63"/>
      <c r="D809" s="14"/>
      <c r="E809" s="63"/>
    </row>
    <row r="810" spans="2:5" ht="15.75" customHeight="1" x14ac:dyDescent="0.2">
      <c r="B810" s="63"/>
      <c r="D810" s="14"/>
      <c r="E810" s="63"/>
    </row>
    <row r="811" spans="2:5" ht="15.75" customHeight="1" x14ac:dyDescent="0.2">
      <c r="B811" s="63"/>
      <c r="D811" s="14"/>
      <c r="E811" s="63"/>
    </row>
    <row r="812" spans="2:5" ht="15.75" customHeight="1" x14ac:dyDescent="0.2">
      <c r="B812" s="63"/>
      <c r="D812" s="14"/>
      <c r="E812" s="63"/>
    </row>
    <row r="813" spans="2:5" ht="15.75" customHeight="1" x14ac:dyDescent="0.2">
      <c r="B813" s="63"/>
      <c r="D813" s="14"/>
      <c r="E813" s="63"/>
    </row>
    <row r="814" spans="2:5" ht="15.75" customHeight="1" x14ac:dyDescent="0.2">
      <c r="B814" s="63"/>
      <c r="D814" s="14"/>
      <c r="E814" s="63"/>
    </row>
    <row r="815" spans="2:5" ht="15.75" customHeight="1" x14ac:dyDescent="0.2">
      <c r="B815" s="63"/>
      <c r="D815" s="14"/>
      <c r="E815" s="63"/>
    </row>
    <row r="816" spans="2:5" ht="15.75" customHeight="1" x14ac:dyDescent="0.2">
      <c r="B816" s="63"/>
      <c r="D816" s="14"/>
      <c r="E816" s="63"/>
    </row>
    <row r="817" spans="2:5" ht="15.75" customHeight="1" x14ac:dyDescent="0.2">
      <c r="B817" s="63"/>
      <c r="D817" s="14"/>
      <c r="E817" s="63"/>
    </row>
    <row r="818" spans="2:5" ht="15.75" customHeight="1" x14ac:dyDescent="0.2">
      <c r="B818" s="63"/>
      <c r="D818" s="14"/>
      <c r="E818" s="63"/>
    </row>
    <row r="819" spans="2:5" ht="15.75" customHeight="1" x14ac:dyDescent="0.2">
      <c r="B819" s="63"/>
      <c r="D819" s="14"/>
      <c r="E819" s="63"/>
    </row>
    <row r="820" spans="2:5" ht="15.75" customHeight="1" x14ac:dyDescent="0.2">
      <c r="B820" s="63"/>
      <c r="D820" s="14"/>
      <c r="E820" s="63"/>
    </row>
    <row r="821" spans="2:5" ht="15.75" customHeight="1" x14ac:dyDescent="0.2">
      <c r="B821" s="63"/>
      <c r="D821" s="14"/>
      <c r="E821" s="63"/>
    </row>
    <row r="822" spans="2:5" ht="15.75" customHeight="1" x14ac:dyDescent="0.2">
      <c r="B822" s="63"/>
      <c r="D822" s="14"/>
      <c r="E822" s="63"/>
    </row>
    <row r="823" spans="2:5" ht="15.75" customHeight="1" x14ac:dyDescent="0.2">
      <c r="B823" s="63"/>
      <c r="D823" s="14"/>
      <c r="E823" s="63"/>
    </row>
    <row r="824" spans="2:5" ht="15.75" customHeight="1" x14ac:dyDescent="0.2">
      <c r="B824" s="63"/>
      <c r="D824" s="14"/>
      <c r="E824" s="63"/>
    </row>
    <row r="825" spans="2:5" ht="15.75" customHeight="1" x14ac:dyDescent="0.2">
      <c r="B825" s="63"/>
      <c r="D825" s="14"/>
      <c r="E825" s="63"/>
    </row>
    <row r="826" spans="2:5" ht="15.75" customHeight="1" x14ac:dyDescent="0.2">
      <c r="B826" s="63"/>
      <c r="D826" s="14"/>
      <c r="E826" s="63"/>
    </row>
    <row r="827" spans="2:5" ht="15.75" customHeight="1" x14ac:dyDescent="0.2">
      <c r="B827" s="63"/>
      <c r="D827" s="14"/>
      <c r="E827" s="63"/>
    </row>
    <row r="828" spans="2:5" ht="15.75" customHeight="1" x14ac:dyDescent="0.2">
      <c r="B828" s="63"/>
      <c r="D828" s="14"/>
      <c r="E828" s="63"/>
    </row>
    <row r="829" spans="2:5" ht="15.75" customHeight="1" x14ac:dyDescent="0.2">
      <c r="B829" s="63"/>
      <c r="D829" s="14"/>
      <c r="E829" s="63"/>
    </row>
    <row r="830" spans="2:5" ht="15.75" customHeight="1" x14ac:dyDescent="0.2">
      <c r="B830" s="63"/>
      <c r="D830" s="14"/>
      <c r="E830" s="63"/>
    </row>
    <row r="831" spans="2:5" ht="15.75" customHeight="1" x14ac:dyDescent="0.2">
      <c r="B831" s="63"/>
      <c r="D831" s="14"/>
      <c r="E831" s="63"/>
    </row>
    <row r="832" spans="2:5" ht="15.75" customHeight="1" x14ac:dyDescent="0.2">
      <c r="B832" s="63"/>
      <c r="D832" s="14"/>
      <c r="E832" s="63"/>
    </row>
    <row r="833" spans="2:5" ht="15.75" customHeight="1" x14ac:dyDescent="0.2">
      <c r="B833" s="63"/>
      <c r="D833" s="14"/>
      <c r="E833" s="63"/>
    </row>
    <row r="834" spans="2:5" ht="15.75" customHeight="1" x14ac:dyDescent="0.2">
      <c r="B834" s="63"/>
      <c r="D834" s="14"/>
      <c r="E834" s="63"/>
    </row>
    <row r="835" spans="2:5" ht="15.75" customHeight="1" x14ac:dyDescent="0.2">
      <c r="B835" s="63"/>
      <c r="D835" s="14"/>
      <c r="E835" s="63"/>
    </row>
    <row r="836" spans="2:5" ht="15.75" customHeight="1" x14ac:dyDescent="0.2">
      <c r="B836" s="63"/>
      <c r="D836" s="14"/>
      <c r="E836" s="63"/>
    </row>
    <row r="837" spans="2:5" ht="15.75" customHeight="1" x14ac:dyDescent="0.2">
      <c r="B837" s="63"/>
      <c r="D837" s="14"/>
      <c r="E837" s="63"/>
    </row>
    <row r="838" spans="2:5" ht="15.75" customHeight="1" x14ac:dyDescent="0.2">
      <c r="B838" s="63"/>
      <c r="D838" s="14"/>
      <c r="E838" s="63"/>
    </row>
    <row r="839" spans="2:5" ht="15.75" customHeight="1" x14ac:dyDescent="0.2">
      <c r="B839" s="63"/>
      <c r="D839" s="14"/>
      <c r="E839" s="63"/>
    </row>
    <row r="840" spans="2:5" ht="15.75" customHeight="1" x14ac:dyDescent="0.2">
      <c r="B840" s="63"/>
      <c r="D840" s="14"/>
      <c r="E840" s="63"/>
    </row>
    <row r="841" spans="2:5" ht="15.75" customHeight="1" x14ac:dyDescent="0.2">
      <c r="B841" s="63"/>
      <c r="D841" s="14"/>
      <c r="E841" s="63"/>
    </row>
    <row r="842" spans="2:5" ht="15.75" customHeight="1" x14ac:dyDescent="0.2">
      <c r="B842" s="63"/>
      <c r="D842" s="14"/>
      <c r="E842" s="63"/>
    </row>
    <row r="843" spans="2:5" ht="15.75" customHeight="1" x14ac:dyDescent="0.2">
      <c r="B843" s="63"/>
      <c r="D843" s="14"/>
      <c r="E843" s="63"/>
    </row>
    <row r="844" spans="2:5" ht="15.75" customHeight="1" x14ac:dyDescent="0.2">
      <c r="B844" s="63"/>
      <c r="D844" s="14"/>
      <c r="E844" s="63"/>
    </row>
    <row r="845" spans="2:5" ht="15.75" customHeight="1" x14ac:dyDescent="0.2">
      <c r="B845" s="63"/>
      <c r="D845" s="14"/>
      <c r="E845" s="63"/>
    </row>
    <row r="846" spans="2:5" ht="15.75" customHeight="1" x14ac:dyDescent="0.2">
      <c r="B846" s="63"/>
      <c r="D846" s="14"/>
      <c r="E846" s="63"/>
    </row>
    <row r="847" spans="2:5" ht="15.75" customHeight="1" x14ac:dyDescent="0.2">
      <c r="B847" s="63"/>
      <c r="D847" s="14"/>
      <c r="E847" s="63"/>
    </row>
    <row r="848" spans="2:5" ht="15.75" customHeight="1" x14ac:dyDescent="0.2">
      <c r="B848" s="63"/>
      <c r="D848" s="14"/>
      <c r="E848" s="63"/>
    </row>
    <row r="849" spans="2:5" ht="15.75" customHeight="1" x14ac:dyDescent="0.2">
      <c r="B849" s="63"/>
      <c r="D849" s="14"/>
      <c r="E849" s="63"/>
    </row>
    <row r="850" spans="2:5" ht="15.75" customHeight="1" x14ac:dyDescent="0.2">
      <c r="B850" s="63"/>
      <c r="D850" s="14"/>
      <c r="E850" s="63"/>
    </row>
    <row r="851" spans="2:5" ht="15.75" customHeight="1" x14ac:dyDescent="0.2">
      <c r="B851" s="63"/>
      <c r="D851" s="14"/>
      <c r="E851" s="63"/>
    </row>
    <row r="852" spans="2:5" ht="15.75" customHeight="1" x14ac:dyDescent="0.2">
      <c r="B852" s="63"/>
      <c r="D852" s="14"/>
      <c r="E852" s="63"/>
    </row>
    <row r="853" spans="2:5" ht="15.75" customHeight="1" x14ac:dyDescent="0.2">
      <c r="B853" s="63"/>
      <c r="D853" s="14"/>
      <c r="E853" s="63"/>
    </row>
    <row r="854" spans="2:5" ht="15.75" customHeight="1" x14ac:dyDescent="0.2">
      <c r="B854" s="63"/>
      <c r="D854" s="14"/>
      <c r="E854" s="63"/>
    </row>
    <row r="855" spans="2:5" ht="15.75" customHeight="1" x14ac:dyDescent="0.2">
      <c r="B855" s="63"/>
      <c r="D855" s="14"/>
      <c r="E855" s="63"/>
    </row>
    <row r="856" spans="2:5" ht="15.75" customHeight="1" x14ac:dyDescent="0.2">
      <c r="B856" s="63"/>
      <c r="D856" s="14"/>
      <c r="E856" s="63"/>
    </row>
    <row r="857" spans="2:5" ht="15.75" customHeight="1" x14ac:dyDescent="0.2">
      <c r="B857" s="63"/>
      <c r="D857" s="14"/>
      <c r="E857" s="63"/>
    </row>
    <row r="858" spans="2:5" ht="15.75" customHeight="1" x14ac:dyDescent="0.2">
      <c r="B858" s="63"/>
      <c r="D858" s="14"/>
      <c r="E858" s="63"/>
    </row>
    <row r="859" spans="2:5" ht="15.75" customHeight="1" x14ac:dyDescent="0.2">
      <c r="B859" s="63"/>
      <c r="D859" s="14"/>
      <c r="E859" s="63"/>
    </row>
    <row r="860" spans="2:5" ht="15.75" customHeight="1" x14ac:dyDescent="0.2">
      <c r="B860" s="63"/>
      <c r="D860" s="14"/>
      <c r="E860" s="63"/>
    </row>
    <row r="861" spans="2:5" ht="15.75" customHeight="1" x14ac:dyDescent="0.2">
      <c r="B861" s="63"/>
      <c r="D861" s="14"/>
      <c r="E861" s="63"/>
    </row>
    <row r="862" spans="2:5" ht="15.75" customHeight="1" x14ac:dyDescent="0.2">
      <c r="B862" s="63"/>
      <c r="D862" s="14"/>
      <c r="E862" s="63"/>
    </row>
    <row r="863" spans="2:5" ht="15.75" customHeight="1" x14ac:dyDescent="0.2">
      <c r="B863" s="63"/>
      <c r="D863" s="14"/>
      <c r="E863" s="63"/>
    </row>
    <row r="864" spans="2:5" ht="15.75" customHeight="1" x14ac:dyDescent="0.2">
      <c r="B864" s="63"/>
      <c r="D864" s="14"/>
      <c r="E864" s="63"/>
    </row>
    <row r="865" spans="2:5" ht="15.75" customHeight="1" x14ac:dyDescent="0.2">
      <c r="B865" s="63"/>
      <c r="D865" s="14"/>
      <c r="E865" s="63"/>
    </row>
    <row r="866" spans="2:5" ht="15.75" customHeight="1" x14ac:dyDescent="0.2">
      <c r="B866" s="63"/>
      <c r="D866" s="14"/>
      <c r="E866" s="63"/>
    </row>
    <row r="867" spans="2:5" ht="15.75" customHeight="1" x14ac:dyDescent="0.2">
      <c r="B867" s="63"/>
      <c r="D867" s="14"/>
      <c r="E867" s="63"/>
    </row>
    <row r="868" spans="2:5" ht="15.75" customHeight="1" x14ac:dyDescent="0.2">
      <c r="B868" s="63"/>
      <c r="D868" s="14"/>
      <c r="E868" s="63"/>
    </row>
    <row r="869" spans="2:5" ht="15.75" customHeight="1" x14ac:dyDescent="0.2">
      <c r="B869" s="63"/>
      <c r="D869" s="14"/>
      <c r="E869" s="63"/>
    </row>
    <row r="870" spans="2:5" ht="15.75" customHeight="1" x14ac:dyDescent="0.2">
      <c r="B870" s="63"/>
      <c r="D870" s="14"/>
      <c r="E870" s="63"/>
    </row>
    <row r="871" spans="2:5" ht="15.75" customHeight="1" x14ac:dyDescent="0.2">
      <c r="B871" s="63"/>
      <c r="D871" s="14"/>
      <c r="E871" s="63"/>
    </row>
    <row r="872" spans="2:5" ht="15.75" customHeight="1" x14ac:dyDescent="0.2">
      <c r="B872" s="63"/>
      <c r="D872" s="14"/>
      <c r="E872" s="63"/>
    </row>
    <row r="873" spans="2:5" ht="15.75" customHeight="1" x14ac:dyDescent="0.2">
      <c r="B873" s="63"/>
      <c r="D873" s="14"/>
      <c r="E873" s="63"/>
    </row>
    <row r="874" spans="2:5" ht="15.75" customHeight="1" x14ac:dyDescent="0.2">
      <c r="B874" s="63"/>
      <c r="D874" s="14"/>
      <c r="E874" s="63"/>
    </row>
    <row r="875" spans="2:5" ht="15.75" customHeight="1" x14ac:dyDescent="0.2">
      <c r="B875" s="63"/>
      <c r="D875" s="14"/>
      <c r="E875" s="63"/>
    </row>
    <row r="876" spans="2:5" ht="15.75" customHeight="1" x14ac:dyDescent="0.2">
      <c r="B876" s="63"/>
      <c r="D876" s="14"/>
      <c r="E876" s="63"/>
    </row>
    <row r="877" spans="2:5" ht="15.75" customHeight="1" x14ac:dyDescent="0.2">
      <c r="B877" s="63"/>
      <c r="D877" s="14"/>
      <c r="E877" s="63"/>
    </row>
    <row r="878" spans="2:5" ht="15.75" customHeight="1" x14ac:dyDescent="0.2">
      <c r="B878" s="63"/>
      <c r="D878" s="14"/>
      <c r="E878" s="63"/>
    </row>
    <row r="879" spans="2:5" ht="15.75" customHeight="1" x14ac:dyDescent="0.2">
      <c r="B879" s="63"/>
      <c r="D879" s="14"/>
      <c r="E879" s="63"/>
    </row>
    <row r="880" spans="2:5" ht="15.75" customHeight="1" x14ac:dyDescent="0.2">
      <c r="B880" s="63"/>
      <c r="D880" s="14"/>
      <c r="E880" s="63"/>
    </row>
    <row r="881" spans="2:5" ht="15.75" customHeight="1" x14ac:dyDescent="0.2">
      <c r="B881" s="63"/>
      <c r="D881" s="14"/>
      <c r="E881" s="63"/>
    </row>
    <row r="882" spans="2:5" ht="15.75" customHeight="1" x14ac:dyDescent="0.2">
      <c r="B882" s="63"/>
      <c r="D882" s="14"/>
      <c r="E882" s="63"/>
    </row>
    <row r="883" spans="2:5" ht="15.75" customHeight="1" x14ac:dyDescent="0.2">
      <c r="B883" s="63"/>
      <c r="D883" s="14"/>
      <c r="E883" s="63"/>
    </row>
    <row r="884" spans="2:5" ht="15.75" customHeight="1" x14ac:dyDescent="0.2">
      <c r="B884" s="63"/>
      <c r="D884" s="14"/>
      <c r="E884" s="63"/>
    </row>
    <row r="885" spans="2:5" ht="15.75" customHeight="1" x14ac:dyDescent="0.2">
      <c r="B885" s="63"/>
      <c r="D885" s="14"/>
      <c r="E885" s="63"/>
    </row>
    <row r="886" spans="2:5" ht="15.75" customHeight="1" x14ac:dyDescent="0.2">
      <c r="B886" s="63"/>
      <c r="D886" s="14"/>
      <c r="E886" s="63"/>
    </row>
    <row r="887" spans="2:5" ht="15.75" customHeight="1" x14ac:dyDescent="0.2">
      <c r="B887" s="63"/>
      <c r="D887" s="14"/>
      <c r="E887" s="63"/>
    </row>
    <row r="888" spans="2:5" ht="15.75" customHeight="1" x14ac:dyDescent="0.2">
      <c r="B888" s="63"/>
      <c r="D888" s="14"/>
      <c r="E888" s="63"/>
    </row>
    <row r="889" spans="2:5" ht="15.75" customHeight="1" x14ac:dyDescent="0.2">
      <c r="B889" s="63"/>
      <c r="D889" s="14"/>
      <c r="E889" s="63"/>
    </row>
    <row r="890" spans="2:5" ht="15.75" customHeight="1" x14ac:dyDescent="0.2">
      <c r="B890" s="63"/>
      <c r="D890" s="14"/>
      <c r="E890" s="63"/>
    </row>
    <row r="891" spans="2:5" ht="15.75" customHeight="1" x14ac:dyDescent="0.2">
      <c r="B891" s="63"/>
      <c r="D891" s="14"/>
      <c r="E891" s="63"/>
    </row>
    <row r="892" spans="2:5" ht="15.75" customHeight="1" x14ac:dyDescent="0.2">
      <c r="B892" s="63"/>
      <c r="D892" s="14"/>
      <c r="E892" s="63"/>
    </row>
    <row r="893" spans="2:5" ht="15.75" customHeight="1" x14ac:dyDescent="0.2">
      <c r="B893" s="63"/>
      <c r="D893" s="14"/>
      <c r="E893" s="63"/>
    </row>
    <row r="894" spans="2:5" ht="15.75" customHeight="1" x14ac:dyDescent="0.2">
      <c r="B894" s="63"/>
      <c r="D894" s="14"/>
      <c r="E894" s="63"/>
    </row>
    <row r="895" spans="2:5" ht="15.75" customHeight="1" x14ac:dyDescent="0.2">
      <c r="B895" s="63"/>
      <c r="D895" s="14"/>
      <c r="E895" s="63"/>
    </row>
    <row r="896" spans="2:5" ht="15.75" customHeight="1" x14ac:dyDescent="0.2">
      <c r="B896" s="63"/>
      <c r="D896" s="14"/>
      <c r="E896" s="63"/>
    </row>
    <row r="897" spans="2:5" ht="15.75" customHeight="1" x14ac:dyDescent="0.2">
      <c r="B897" s="63"/>
      <c r="D897" s="14"/>
      <c r="E897" s="63"/>
    </row>
    <row r="898" spans="2:5" ht="15.75" customHeight="1" x14ac:dyDescent="0.2">
      <c r="B898" s="63"/>
      <c r="D898" s="14"/>
      <c r="E898" s="63"/>
    </row>
    <row r="899" spans="2:5" ht="15.75" customHeight="1" x14ac:dyDescent="0.2">
      <c r="B899" s="63"/>
      <c r="D899" s="14"/>
      <c r="E899" s="63"/>
    </row>
    <row r="900" spans="2:5" ht="15.75" customHeight="1" x14ac:dyDescent="0.2">
      <c r="B900" s="63"/>
      <c r="D900" s="14"/>
      <c r="E900" s="63"/>
    </row>
    <row r="901" spans="2:5" ht="15.75" customHeight="1" x14ac:dyDescent="0.2">
      <c r="B901" s="63"/>
      <c r="D901" s="14"/>
      <c r="E901" s="63"/>
    </row>
    <row r="902" spans="2:5" ht="15.75" customHeight="1" x14ac:dyDescent="0.2">
      <c r="B902" s="63"/>
      <c r="D902" s="14"/>
      <c r="E902" s="63"/>
    </row>
    <row r="903" spans="2:5" ht="15.75" customHeight="1" x14ac:dyDescent="0.2">
      <c r="B903" s="63"/>
      <c r="D903" s="14"/>
      <c r="E903" s="63"/>
    </row>
    <row r="904" spans="2:5" ht="15.75" customHeight="1" x14ac:dyDescent="0.2">
      <c r="B904" s="63"/>
      <c r="D904" s="14"/>
      <c r="E904" s="63"/>
    </row>
    <row r="905" spans="2:5" ht="15.75" customHeight="1" x14ac:dyDescent="0.2">
      <c r="B905" s="63"/>
      <c r="D905" s="14"/>
      <c r="E905" s="63"/>
    </row>
    <row r="906" spans="2:5" ht="15.75" customHeight="1" x14ac:dyDescent="0.2">
      <c r="B906" s="63"/>
      <c r="D906" s="14"/>
      <c r="E906" s="63"/>
    </row>
    <row r="907" spans="2:5" ht="15.75" customHeight="1" x14ac:dyDescent="0.2">
      <c r="B907" s="63"/>
      <c r="D907" s="14"/>
      <c r="E907" s="63"/>
    </row>
    <row r="908" spans="2:5" ht="15.75" customHeight="1" x14ac:dyDescent="0.2">
      <c r="B908" s="63"/>
      <c r="D908" s="14"/>
      <c r="E908" s="63"/>
    </row>
    <row r="909" spans="2:5" ht="15.75" customHeight="1" x14ac:dyDescent="0.2">
      <c r="B909" s="63"/>
      <c r="D909" s="14"/>
      <c r="E909" s="63"/>
    </row>
    <row r="910" spans="2:5" ht="15.75" customHeight="1" x14ac:dyDescent="0.2">
      <c r="B910" s="63"/>
      <c r="D910" s="14"/>
      <c r="E910" s="63"/>
    </row>
    <row r="911" spans="2:5" ht="15.75" customHeight="1" x14ac:dyDescent="0.2">
      <c r="B911" s="63"/>
      <c r="D911" s="14"/>
      <c r="E911" s="63"/>
    </row>
    <row r="912" spans="2:5" ht="15.75" customHeight="1" x14ac:dyDescent="0.2">
      <c r="B912" s="63"/>
      <c r="D912" s="14"/>
      <c r="E912" s="63"/>
    </row>
    <row r="913" spans="2:5" ht="15.75" customHeight="1" x14ac:dyDescent="0.2">
      <c r="B913" s="63"/>
      <c r="D913" s="14"/>
      <c r="E913" s="63"/>
    </row>
    <row r="914" spans="2:5" ht="15.75" customHeight="1" x14ac:dyDescent="0.2">
      <c r="B914" s="63"/>
      <c r="D914" s="14"/>
      <c r="E914" s="63"/>
    </row>
    <row r="915" spans="2:5" ht="15.75" customHeight="1" x14ac:dyDescent="0.2">
      <c r="B915" s="63"/>
      <c r="D915" s="14"/>
      <c r="E915" s="63"/>
    </row>
    <row r="916" spans="2:5" ht="15.75" customHeight="1" x14ac:dyDescent="0.2">
      <c r="B916" s="63"/>
      <c r="D916" s="14"/>
      <c r="E916" s="63"/>
    </row>
    <row r="917" spans="2:5" ht="15.75" customHeight="1" x14ac:dyDescent="0.2">
      <c r="B917" s="63"/>
      <c r="D917" s="14"/>
      <c r="E917" s="63"/>
    </row>
    <row r="918" spans="2:5" ht="15.75" customHeight="1" x14ac:dyDescent="0.2">
      <c r="B918" s="63"/>
      <c r="D918" s="14"/>
      <c r="E918" s="63"/>
    </row>
    <row r="919" spans="2:5" ht="15.75" customHeight="1" x14ac:dyDescent="0.2">
      <c r="B919" s="63"/>
      <c r="D919" s="14"/>
      <c r="E919" s="63"/>
    </row>
    <row r="920" spans="2:5" ht="15.75" customHeight="1" x14ac:dyDescent="0.2">
      <c r="B920" s="63"/>
      <c r="D920" s="14"/>
      <c r="E920" s="63"/>
    </row>
    <row r="921" spans="2:5" ht="15.75" customHeight="1" x14ac:dyDescent="0.2">
      <c r="B921" s="63"/>
      <c r="D921" s="14"/>
      <c r="E921" s="63"/>
    </row>
    <row r="922" spans="2:5" ht="15.75" customHeight="1" x14ac:dyDescent="0.2">
      <c r="B922" s="63"/>
      <c r="D922" s="14"/>
      <c r="E922" s="63"/>
    </row>
    <row r="923" spans="2:5" ht="15.75" customHeight="1" x14ac:dyDescent="0.2">
      <c r="B923" s="63"/>
      <c r="D923" s="14"/>
      <c r="E923" s="63"/>
    </row>
    <row r="924" spans="2:5" ht="15.75" customHeight="1" x14ac:dyDescent="0.2">
      <c r="B924" s="63"/>
      <c r="D924" s="14"/>
      <c r="E924" s="63"/>
    </row>
    <row r="925" spans="2:5" ht="15.75" customHeight="1" x14ac:dyDescent="0.2">
      <c r="B925" s="63"/>
      <c r="D925" s="14"/>
      <c r="E925" s="63"/>
    </row>
    <row r="926" spans="2:5" ht="15.75" customHeight="1" x14ac:dyDescent="0.2">
      <c r="B926" s="63"/>
      <c r="D926" s="14"/>
      <c r="E926" s="63"/>
    </row>
    <row r="927" spans="2:5" ht="15.75" customHeight="1" x14ac:dyDescent="0.2">
      <c r="B927" s="63"/>
      <c r="D927" s="14"/>
      <c r="E927" s="63"/>
    </row>
    <row r="928" spans="2:5" ht="15.75" customHeight="1" x14ac:dyDescent="0.2">
      <c r="B928" s="63"/>
      <c r="D928" s="14"/>
      <c r="E928" s="63"/>
    </row>
    <row r="929" spans="2:5" ht="15.75" customHeight="1" x14ac:dyDescent="0.2">
      <c r="B929" s="63"/>
      <c r="D929" s="14"/>
      <c r="E929" s="63"/>
    </row>
    <row r="930" spans="2:5" ht="15.75" customHeight="1" x14ac:dyDescent="0.2">
      <c r="B930" s="63"/>
      <c r="D930" s="14"/>
      <c r="E930" s="63"/>
    </row>
    <row r="931" spans="2:5" ht="15.75" customHeight="1" x14ac:dyDescent="0.2">
      <c r="B931" s="63"/>
      <c r="D931" s="14"/>
      <c r="E931" s="63"/>
    </row>
    <row r="932" spans="2:5" ht="15.75" customHeight="1" x14ac:dyDescent="0.2">
      <c r="B932" s="63"/>
      <c r="D932" s="14"/>
      <c r="E932" s="63"/>
    </row>
    <row r="933" spans="2:5" ht="15.75" customHeight="1" x14ac:dyDescent="0.2">
      <c r="B933" s="63"/>
      <c r="D933" s="14"/>
      <c r="E933" s="63"/>
    </row>
    <row r="934" spans="2:5" ht="15.75" customHeight="1" x14ac:dyDescent="0.2">
      <c r="B934" s="63"/>
      <c r="D934" s="14"/>
      <c r="E934" s="63"/>
    </row>
    <row r="935" spans="2:5" ht="15.75" customHeight="1" x14ac:dyDescent="0.2">
      <c r="B935" s="63"/>
      <c r="D935" s="14"/>
      <c r="E935" s="63"/>
    </row>
    <row r="936" spans="2:5" ht="15.75" customHeight="1" x14ac:dyDescent="0.2">
      <c r="B936" s="63"/>
      <c r="D936" s="14"/>
      <c r="E936" s="63"/>
    </row>
    <row r="937" spans="2:5" ht="15.75" customHeight="1" x14ac:dyDescent="0.2">
      <c r="B937" s="63"/>
      <c r="D937" s="14"/>
      <c r="E937" s="63"/>
    </row>
    <row r="938" spans="2:5" ht="15.75" customHeight="1" x14ac:dyDescent="0.2">
      <c r="B938" s="63"/>
      <c r="D938" s="14"/>
      <c r="E938" s="63"/>
    </row>
    <row r="939" spans="2:5" ht="15.75" customHeight="1" x14ac:dyDescent="0.2">
      <c r="B939" s="63"/>
      <c r="D939" s="14"/>
      <c r="E939" s="63"/>
    </row>
    <row r="940" spans="2:5" ht="15.75" customHeight="1" x14ac:dyDescent="0.2">
      <c r="B940" s="63"/>
      <c r="D940" s="14"/>
      <c r="E940" s="63"/>
    </row>
    <row r="941" spans="2:5" ht="15.75" customHeight="1" x14ac:dyDescent="0.2">
      <c r="B941" s="63"/>
      <c r="D941" s="14"/>
      <c r="E941" s="63"/>
    </row>
    <row r="942" spans="2:5" ht="15.75" customHeight="1" x14ac:dyDescent="0.2">
      <c r="B942" s="63"/>
      <c r="D942" s="14"/>
      <c r="E942" s="63"/>
    </row>
    <row r="943" spans="2:5" ht="15.75" customHeight="1" x14ac:dyDescent="0.2">
      <c r="B943" s="63"/>
      <c r="D943" s="14"/>
      <c r="E943" s="63"/>
    </row>
    <row r="944" spans="2:5" ht="15.75" customHeight="1" x14ac:dyDescent="0.2">
      <c r="B944" s="63"/>
      <c r="D944" s="14"/>
      <c r="E944" s="63"/>
    </row>
    <row r="945" spans="2:5" ht="15.75" customHeight="1" x14ac:dyDescent="0.2">
      <c r="B945" s="63"/>
      <c r="D945" s="14"/>
      <c r="E945" s="63"/>
    </row>
    <row r="946" spans="2:5" ht="15.75" customHeight="1" x14ac:dyDescent="0.2">
      <c r="B946" s="63"/>
      <c r="D946" s="14"/>
      <c r="E946" s="63"/>
    </row>
    <row r="947" spans="2:5" ht="15.75" customHeight="1" x14ac:dyDescent="0.2">
      <c r="B947" s="63"/>
      <c r="D947" s="14"/>
      <c r="E947" s="63"/>
    </row>
    <row r="948" spans="2:5" ht="15.75" customHeight="1" x14ac:dyDescent="0.2">
      <c r="B948" s="63"/>
      <c r="D948" s="14"/>
      <c r="E948" s="63"/>
    </row>
    <row r="949" spans="2:5" ht="15.75" customHeight="1" x14ac:dyDescent="0.2">
      <c r="B949" s="63"/>
      <c r="D949" s="14"/>
      <c r="E949" s="63"/>
    </row>
    <row r="950" spans="2:5" ht="15.75" customHeight="1" x14ac:dyDescent="0.2">
      <c r="B950" s="63"/>
      <c r="D950" s="14"/>
      <c r="E950" s="63"/>
    </row>
    <row r="951" spans="2:5" ht="15.75" customHeight="1" x14ac:dyDescent="0.2">
      <c r="B951" s="63"/>
      <c r="D951" s="14"/>
      <c r="E951" s="63"/>
    </row>
    <row r="952" spans="2:5" ht="15.75" customHeight="1" x14ac:dyDescent="0.2">
      <c r="B952" s="63"/>
      <c r="D952" s="14"/>
      <c r="E952" s="63"/>
    </row>
    <row r="953" spans="2:5" ht="15.75" customHeight="1" x14ac:dyDescent="0.2">
      <c r="B953" s="63"/>
      <c r="D953" s="14"/>
      <c r="E953" s="63"/>
    </row>
    <row r="954" spans="2:5" ht="15.75" customHeight="1" x14ac:dyDescent="0.2">
      <c r="B954" s="63"/>
      <c r="D954" s="14"/>
      <c r="E954" s="63"/>
    </row>
    <row r="955" spans="2:5" ht="15.75" customHeight="1" x14ac:dyDescent="0.2">
      <c r="B955" s="63"/>
      <c r="D955" s="14"/>
      <c r="E955" s="63"/>
    </row>
    <row r="956" spans="2:5" ht="15.75" customHeight="1" x14ac:dyDescent="0.2">
      <c r="B956" s="63"/>
      <c r="D956" s="14"/>
      <c r="E956" s="63"/>
    </row>
    <row r="957" spans="2:5" ht="15.75" customHeight="1" x14ac:dyDescent="0.2">
      <c r="B957" s="63"/>
      <c r="D957" s="14"/>
      <c r="E957" s="63"/>
    </row>
    <row r="958" spans="2:5" ht="15.75" customHeight="1" x14ac:dyDescent="0.2">
      <c r="B958" s="63"/>
      <c r="D958" s="14"/>
      <c r="E958" s="63"/>
    </row>
    <row r="959" spans="2:5" ht="15.75" customHeight="1" x14ac:dyDescent="0.2">
      <c r="B959" s="63"/>
      <c r="D959" s="14"/>
      <c r="E959" s="63"/>
    </row>
    <row r="960" spans="2:5" ht="15.75" customHeight="1" x14ac:dyDescent="0.2">
      <c r="B960" s="63"/>
      <c r="D960" s="14"/>
      <c r="E960" s="63"/>
    </row>
    <row r="961" spans="2:5" ht="15.75" customHeight="1" x14ac:dyDescent="0.2">
      <c r="B961" s="63"/>
      <c r="D961" s="14"/>
      <c r="E961" s="63"/>
    </row>
    <row r="962" spans="2:5" ht="15.75" customHeight="1" x14ac:dyDescent="0.2">
      <c r="B962" s="63"/>
      <c r="D962" s="14"/>
      <c r="E962" s="63"/>
    </row>
    <row r="963" spans="2:5" ht="15.75" customHeight="1" x14ac:dyDescent="0.2">
      <c r="B963" s="63"/>
      <c r="D963" s="14"/>
      <c r="E963" s="63"/>
    </row>
    <row r="964" spans="2:5" ht="15.75" customHeight="1" x14ac:dyDescent="0.2">
      <c r="B964" s="63"/>
      <c r="D964" s="14"/>
      <c r="E964" s="63"/>
    </row>
    <row r="965" spans="2:5" ht="15.75" customHeight="1" x14ac:dyDescent="0.2">
      <c r="B965" s="63"/>
      <c r="D965" s="14"/>
      <c r="E965" s="63"/>
    </row>
    <row r="966" spans="2:5" ht="15.75" customHeight="1" x14ac:dyDescent="0.2">
      <c r="B966" s="63"/>
      <c r="D966" s="14"/>
      <c r="E966" s="63"/>
    </row>
    <row r="967" spans="2:5" ht="15.75" customHeight="1" x14ac:dyDescent="0.2">
      <c r="B967" s="63"/>
      <c r="D967" s="14"/>
      <c r="E967" s="63"/>
    </row>
    <row r="968" spans="2:5" ht="15.75" customHeight="1" x14ac:dyDescent="0.2">
      <c r="B968" s="63"/>
      <c r="D968" s="14"/>
      <c r="E968" s="63"/>
    </row>
    <row r="969" spans="2:5" ht="15.75" customHeight="1" x14ac:dyDescent="0.2">
      <c r="B969" s="63"/>
      <c r="D969" s="14"/>
      <c r="E969" s="63"/>
    </row>
    <row r="970" spans="2:5" ht="15.75" customHeight="1" x14ac:dyDescent="0.2">
      <c r="B970" s="63"/>
      <c r="D970" s="14"/>
      <c r="E970" s="63"/>
    </row>
    <row r="971" spans="2:5" ht="15.75" customHeight="1" x14ac:dyDescent="0.2">
      <c r="B971" s="63"/>
      <c r="D971" s="14"/>
      <c r="E971" s="63"/>
    </row>
    <row r="972" spans="2:5" ht="15.75" customHeight="1" x14ac:dyDescent="0.2">
      <c r="B972" s="63"/>
      <c r="D972" s="14"/>
      <c r="E972" s="63"/>
    </row>
    <row r="973" spans="2:5" ht="15.75" customHeight="1" x14ac:dyDescent="0.2">
      <c r="B973" s="63"/>
      <c r="D973" s="14"/>
      <c r="E973" s="63"/>
    </row>
    <row r="974" spans="2:5" ht="15.75" customHeight="1" x14ac:dyDescent="0.2">
      <c r="B974" s="63"/>
      <c r="D974" s="14"/>
      <c r="E974" s="63"/>
    </row>
    <row r="975" spans="2:5" ht="15.75" customHeight="1" x14ac:dyDescent="0.2">
      <c r="B975" s="63"/>
      <c r="D975" s="14"/>
      <c r="E975" s="63"/>
    </row>
    <row r="976" spans="2:5" ht="15.75" customHeight="1" x14ac:dyDescent="0.2">
      <c r="B976" s="63"/>
      <c r="D976" s="14"/>
      <c r="E976" s="63"/>
    </row>
    <row r="977" spans="2:5" ht="15.75" customHeight="1" x14ac:dyDescent="0.2">
      <c r="B977" s="63"/>
      <c r="D977" s="14"/>
      <c r="E977" s="63"/>
    </row>
    <row r="978" spans="2:5" ht="15.75" customHeight="1" x14ac:dyDescent="0.2">
      <c r="B978" s="63"/>
      <c r="D978" s="14"/>
      <c r="E978" s="63"/>
    </row>
  </sheetData>
  <autoFilter ref="B4:F978" xr:uid="{00000000-0009-0000-0000-000003000000}"/>
  <conditionalFormatting sqref="B5:F978">
    <cfRule type="expression" dxfId="6" priority="1">
      <formula>$D5&lt;0</formula>
    </cfRule>
  </conditionalFormatting>
  <dataValidations count="2">
    <dataValidation type="custom" allowBlank="1" showDropDown="1" showInputMessage="1" showErrorMessage="1" prompt="Enter a valid date in MM-DD-YYYY format" sqref="B5:B978" xr:uid="{00000000-0002-0000-0300-000000000000}">
      <formula1>OR(NOT(ISERROR(DATEVALUE(B5))), AND(ISNUMBER(B5), LEFT(CELL("format", B5))="D"))</formula1>
    </dataValidation>
    <dataValidation type="decimal" allowBlank="1" showDropDown="1" showInputMessage="1" showErrorMessage="1" prompt="Enter a valid number" sqref="D5:D978" xr:uid="{00000000-0002-0000-0300-000002000000}">
      <formula1>-1000000000000</formula1>
      <formula2>1000000000000</formula2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lick and enter a value from range" xr:uid="{00000000-0002-0000-0300-000001000000}">
          <x14:formula1>
            <xm:f>'Category Setup'!$B$62:$B$76</xm:f>
          </x14:formula1>
          <xm:sqref>E5:E978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</sheetPr>
  <dimension ref="A1:I81"/>
  <sheetViews>
    <sheetView showGridLines="0" workbookViewId="0">
      <pane ySplit="6" topLeftCell="A7" activePane="bottomLeft" state="frozen"/>
      <selection pane="bottomLeft" activeCell="C4" sqref="C4"/>
    </sheetView>
  </sheetViews>
  <sheetFormatPr defaultColWidth="12.5703125" defaultRowHeight="15" customHeight="1" x14ac:dyDescent="0.2"/>
  <cols>
    <col min="1" max="1" width="3.28515625" customWidth="1"/>
    <col min="2" max="2" width="29.140625" customWidth="1"/>
    <col min="3" max="3" width="6.7109375" customWidth="1"/>
    <col min="4" max="5" width="22.5703125" customWidth="1"/>
    <col min="6" max="6" width="3.28515625" customWidth="1"/>
    <col min="7" max="8" width="22.5703125" customWidth="1"/>
    <col min="9" max="9" width="3.28515625" customWidth="1"/>
  </cols>
  <sheetData>
    <row r="1" spans="1:9" ht="15.75" customHeight="1" x14ac:dyDescent="0.25">
      <c r="A1" s="64"/>
      <c r="B1" s="65" t="s">
        <v>51</v>
      </c>
      <c r="C1" s="65"/>
      <c r="D1" s="66">
        <v>45717</v>
      </c>
      <c r="E1" s="67" t="s">
        <v>52</v>
      </c>
      <c r="F1" s="67"/>
      <c r="G1" s="67"/>
      <c r="H1" s="67"/>
      <c r="I1" s="67"/>
    </row>
    <row r="2" spans="1:9" ht="15.75" customHeight="1" x14ac:dyDescent="0.25">
      <c r="A2" s="64"/>
      <c r="B2" s="65" t="s">
        <v>53</v>
      </c>
      <c r="C2" s="65"/>
      <c r="D2" s="66">
        <v>45746</v>
      </c>
      <c r="E2" s="67" t="s">
        <v>52</v>
      </c>
      <c r="F2" s="67"/>
      <c r="G2" s="67"/>
      <c r="H2" s="67"/>
      <c r="I2" s="67"/>
    </row>
    <row r="3" spans="1:9" ht="15.75" customHeight="1" x14ac:dyDescent="0.2">
      <c r="A3" s="64"/>
      <c r="B3" s="68" t="s">
        <v>54</v>
      </c>
      <c r="C3" s="68"/>
      <c r="D3" s="69">
        <f>IF(MONTH(D2)=2,MAX(ROUND((D2-D1+2)/(365/12),1),0),MAX(ROUND((D2-D1+1)/(365/12),1),0))</f>
        <v>1</v>
      </c>
      <c r="E3" s="67"/>
      <c r="F3" s="67"/>
      <c r="G3" s="67"/>
      <c r="H3" s="67"/>
      <c r="I3" s="67"/>
    </row>
    <row r="4" spans="1:9" ht="15.75" customHeight="1" x14ac:dyDescent="0.2">
      <c r="A4" s="64"/>
      <c r="B4" s="67"/>
      <c r="C4" s="67"/>
      <c r="D4" s="67"/>
      <c r="E4" s="67"/>
      <c r="F4" s="67"/>
      <c r="G4" s="67"/>
      <c r="H4" s="67"/>
      <c r="I4" s="67"/>
    </row>
    <row r="5" spans="1:9" ht="15.75" customHeight="1" x14ac:dyDescent="0.25">
      <c r="A5" s="64"/>
      <c r="B5" s="70" t="str">
        <f>"Budget Summary: "&amp;TEXT($D$1,"mmmm-dd-yyyy")&amp;" to "&amp;TEXT($D$2,"mmmm-dd-yyyy")&amp;" ("&amp;TEXT($D$3,"#,##0")&amp;IF(ROUND($D$3,0)=1," month"," months")&amp;")"</f>
        <v>Budget Summary: March-01-2025 to March-30-2025 (1 month)</v>
      </c>
      <c r="C5" s="70"/>
      <c r="D5" s="70"/>
      <c r="E5" s="70"/>
      <c r="F5" s="70"/>
      <c r="G5" s="70"/>
      <c r="H5" s="70"/>
      <c r="I5" s="67"/>
    </row>
    <row r="6" spans="1:9" ht="15.75" customHeight="1" x14ac:dyDescent="0.2">
      <c r="A6" s="64"/>
      <c r="B6" s="67"/>
      <c r="C6" s="67"/>
      <c r="D6" s="67"/>
      <c r="E6" s="67"/>
      <c r="F6" s="67"/>
      <c r="G6" s="67"/>
      <c r="H6" s="67"/>
      <c r="I6" s="67"/>
    </row>
    <row r="7" spans="1:9" ht="15.75" customHeight="1" x14ac:dyDescent="0.25">
      <c r="A7" s="71"/>
      <c r="B7" s="72"/>
      <c r="C7" s="67"/>
      <c r="D7" s="235" t="s">
        <v>55</v>
      </c>
      <c r="E7" s="232"/>
      <c r="F7" s="67"/>
      <c r="G7" s="235" t="s">
        <v>56</v>
      </c>
      <c r="H7" s="232"/>
      <c r="I7" s="67"/>
    </row>
    <row r="8" spans="1:9" ht="15.75" customHeight="1" x14ac:dyDescent="0.25">
      <c r="A8" s="71"/>
      <c r="B8" s="73" t="s">
        <v>57</v>
      </c>
      <c r="C8" s="67"/>
      <c r="D8" s="74" t="s">
        <v>58</v>
      </c>
      <c r="E8" s="75" t="s">
        <v>59</v>
      </c>
      <c r="F8" s="67"/>
      <c r="G8" s="74" t="s">
        <v>60</v>
      </c>
      <c r="H8" s="75" t="s">
        <v>61</v>
      </c>
      <c r="I8" s="67"/>
    </row>
    <row r="9" spans="1:9" ht="15.75" customHeight="1" x14ac:dyDescent="0.25">
      <c r="A9" s="71">
        <f>'Category Setup'!A129</f>
        <v>1</v>
      </c>
      <c r="B9" s="76" t="str">
        <f>'Category Setup'!B129</f>
        <v>Bills &amp; Utilities</v>
      </c>
      <c r="C9" s="67"/>
      <c r="D9" s="77">
        <f>IF($B9="","",SUMIFS(Expenses!$E:$E,Expenses!$F:$F,$B9,Expenses!$B:$B,"&gt;="&amp;$D$1,Expenses!$B:$B,"&lt;="&amp;$D$2))</f>
        <v>0</v>
      </c>
      <c r="E9" s="78">
        <f>IF($B9="","",'Total &amp; Budget Targets'!$G4*$D$3)</f>
        <v>0</v>
      </c>
      <c r="F9" s="67"/>
      <c r="G9" s="79">
        <f t="shared" ref="G9:G48" si="0">IF($B9="","",D9-E9)</f>
        <v>0</v>
      </c>
      <c r="H9" s="80">
        <f t="shared" ref="H9:H49" si="1">IF($B9="","",IFERROR(D9/E9,0))</f>
        <v>0</v>
      </c>
      <c r="I9" s="67"/>
    </row>
    <row r="10" spans="1:9" ht="15.75" customHeight="1" x14ac:dyDescent="0.25">
      <c r="A10" s="71">
        <f>'Category Setup'!A130</f>
        <v>2</v>
      </c>
      <c r="B10" s="81" t="str">
        <f>'Category Setup'!B130</f>
        <v>Childcare &amp; Baby Needs</v>
      </c>
      <c r="C10" s="67"/>
      <c r="D10" s="77">
        <f>IF($B10="","",SUMIFS(Expenses!$E:$E,Expenses!$F:$F,$B10,Expenses!$B:$B,"&gt;="&amp;$D$1,Expenses!$B:$B,"&lt;="&amp;$D$2))</f>
        <v>0</v>
      </c>
      <c r="E10" s="78">
        <f>IF($B10="","",'Total &amp; Budget Targets'!$G5*$D$3)</f>
        <v>0</v>
      </c>
      <c r="F10" s="67"/>
      <c r="G10" s="79">
        <f t="shared" si="0"/>
        <v>0</v>
      </c>
      <c r="H10" s="80">
        <f t="shared" si="1"/>
        <v>0</v>
      </c>
      <c r="I10" s="67"/>
    </row>
    <row r="11" spans="1:9" ht="15.75" customHeight="1" x14ac:dyDescent="0.25">
      <c r="A11" s="71">
        <f>'Category Setup'!A131</f>
        <v>3</v>
      </c>
      <c r="B11" s="81" t="str">
        <f>'Category Setup'!B131</f>
        <v>Commute</v>
      </c>
      <c r="C11" s="67"/>
      <c r="D11" s="77">
        <f>IF($B11="","",SUMIFS(Expenses!$E:$E,Expenses!$F:$F,$B11,Expenses!$B:$B,"&gt;="&amp;$D$1,Expenses!$B:$B,"&lt;="&amp;$D$2))</f>
        <v>0</v>
      </c>
      <c r="E11" s="78">
        <f>IF($B11="","",'Total &amp; Budget Targets'!$G6*$D$3)</f>
        <v>0</v>
      </c>
      <c r="F11" s="67"/>
      <c r="G11" s="79">
        <f t="shared" si="0"/>
        <v>0</v>
      </c>
      <c r="H11" s="80">
        <f t="shared" si="1"/>
        <v>0</v>
      </c>
      <c r="I11" s="67"/>
    </row>
    <row r="12" spans="1:9" ht="15.75" customHeight="1" x14ac:dyDescent="0.25">
      <c r="A12" s="71">
        <f>'Category Setup'!A132</f>
        <v>4</v>
      </c>
      <c r="B12" s="81" t="str">
        <f>'Category Setup'!B132</f>
        <v>Education</v>
      </c>
      <c r="C12" s="67"/>
      <c r="D12" s="77">
        <f>IF($B12="","",SUMIFS(Expenses!$E:$E,Expenses!$F:$F,$B12,Expenses!$B:$B,"&gt;="&amp;$D$1,Expenses!$B:$B,"&lt;="&amp;$D$2))</f>
        <v>0</v>
      </c>
      <c r="E12" s="78">
        <f>IF($B12="","",'Total &amp; Budget Targets'!$G7*$D$3)</f>
        <v>0</v>
      </c>
      <c r="F12" s="67"/>
      <c r="G12" s="79">
        <f t="shared" si="0"/>
        <v>0</v>
      </c>
      <c r="H12" s="80">
        <f t="shared" si="1"/>
        <v>0</v>
      </c>
      <c r="I12" s="67"/>
    </row>
    <row r="13" spans="1:9" ht="15.75" customHeight="1" x14ac:dyDescent="0.25">
      <c r="A13" s="71">
        <f>'Category Setup'!A133</f>
        <v>5</v>
      </c>
      <c r="B13" s="81" t="str">
        <f>'Category Setup'!B133</f>
        <v>Electronics &amp; Gadgets</v>
      </c>
      <c r="C13" s="67"/>
      <c r="D13" s="77">
        <f>IF($B13="","",SUMIFS(Expenses!$E:$E,Expenses!$F:$F,$B13,Expenses!$B:$B,"&gt;="&amp;$D$1,Expenses!$B:$B,"&lt;="&amp;$D$2))</f>
        <v>0</v>
      </c>
      <c r="E13" s="78">
        <f>IF($B13="","",'Total &amp; Budget Targets'!$G8*$D$3)</f>
        <v>0</v>
      </c>
      <c r="F13" s="67"/>
      <c r="G13" s="79">
        <f t="shared" si="0"/>
        <v>0</v>
      </c>
      <c r="H13" s="80">
        <f t="shared" si="1"/>
        <v>0</v>
      </c>
    </row>
    <row r="14" spans="1:9" ht="15.75" customHeight="1" x14ac:dyDescent="0.25">
      <c r="A14" s="71">
        <f>'Category Setup'!A134</f>
        <v>6</v>
      </c>
      <c r="B14" s="81" t="str">
        <f>'Category Setup'!B134</f>
        <v>Entertainment</v>
      </c>
      <c r="C14" s="67"/>
      <c r="D14" s="77">
        <f>IF($B14="","",SUMIFS(Expenses!$E:$E,Expenses!$F:$F,$B14,Expenses!$B:$B,"&gt;="&amp;$D$1,Expenses!$B:$B,"&lt;="&amp;$D$2))</f>
        <v>0</v>
      </c>
      <c r="E14" s="78">
        <f>IF($B14="","",'Total &amp; Budget Targets'!$G9*$D$3)</f>
        <v>0</v>
      </c>
      <c r="F14" s="67"/>
      <c r="G14" s="79">
        <f t="shared" si="0"/>
        <v>0</v>
      </c>
      <c r="H14" s="80">
        <f t="shared" si="1"/>
        <v>0</v>
      </c>
      <c r="I14" s="67"/>
    </row>
    <row r="15" spans="1:9" ht="15.75" customHeight="1" x14ac:dyDescent="0.25">
      <c r="A15" s="71">
        <f>'Category Setup'!A135</f>
        <v>7</v>
      </c>
      <c r="B15" s="81" t="str">
        <f>'Category Setup'!B135</f>
        <v>Familly</v>
      </c>
      <c r="C15" s="67"/>
      <c r="D15" s="77">
        <f>IF($B15="","",SUMIFS(Expenses!$E:$E,Expenses!$F:$F,$B15,Expenses!$B:$B,"&gt;="&amp;$D$1,Expenses!$B:$B,"&lt;="&amp;$D$2))</f>
        <v>0</v>
      </c>
      <c r="E15" s="78">
        <f>IF($B15="","",'Total &amp; Budget Targets'!$G10*$D$3)</f>
        <v>0</v>
      </c>
      <c r="F15" s="67"/>
      <c r="G15" s="79">
        <f t="shared" si="0"/>
        <v>0</v>
      </c>
      <c r="H15" s="80">
        <f t="shared" si="1"/>
        <v>0</v>
      </c>
      <c r="I15" s="67"/>
    </row>
    <row r="16" spans="1:9" ht="15.75" customHeight="1" x14ac:dyDescent="0.25">
      <c r="A16" s="71">
        <f>'Category Setup'!A136</f>
        <v>8</v>
      </c>
      <c r="B16" s="81" t="str">
        <f>'Category Setup'!B136</f>
        <v>Fitness</v>
      </c>
      <c r="C16" s="67"/>
      <c r="D16" s="77">
        <f>IF($B16="","",SUMIFS(Expenses!$E:$E,Expenses!$F:$F,$B16,Expenses!$B:$B,"&gt;="&amp;$D$1,Expenses!$B:$B,"&lt;="&amp;$D$2))</f>
        <v>0</v>
      </c>
      <c r="E16" s="78">
        <f>IF($B16="","",'Total &amp; Budget Targets'!$G11*$D$3)</f>
        <v>0</v>
      </c>
      <c r="F16" s="67"/>
      <c r="G16" s="79">
        <f t="shared" si="0"/>
        <v>0</v>
      </c>
      <c r="H16" s="80">
        <f t="shared" si="1"/>
        <v>0</v>
      </c>
      <c r="I16" s="67"/>
    </row>
    <row r="17" spans="1:9" ht="15.75" customHeight="1" x14ac:dyDescent="0.25">
      <c r="A17" s="71">
        <f>'Category Setup'!A137</f>
        <v>9</v>
      </c>
      <c r="B17" s="81" t="str">
        <f>'Category Setup'!B137</f>
        <v>Snacks &amp; Quick Bites</v>
      </c>
      <c r="C17" s="67"/>
      <c r="D17" s="77">
        <f>IF($B17="","",SUMIFS(Expenses!$E:$E,Expenses!$F:$F,$B17,Expenses!$B:$B,"&gt;="&amp;$D$1,Expenses!$B:$B,"&lt;="&amp;$D$2))</f>
        <v>0</v>
      </c>
      <c r="E17" s="78">
        <f>IF($B17="","",'Total &amp; Budget Targets'!$G12*$D$3)</f>
        <v>0</v>
      </c>
      <c r="F17" s="67"/>
      <c r="G17" s="79">
        <f t="shared" si="0"/>
        <v>0</v>
      </c>
      <c r="H17" s="80">
        <f t="shared" si="1"/>
        <v>0</v>
      </c>
      <c r="I17" s="67"/>
    </row>
    <row r="18" spans="1:9" ht="15.75" customHeight="1" x14ac:dyDescent="0.25">
      <c r="A18" s="71">
        <f>'Category Setup'!A138</f>
        <v>10</v>
      </c>
      <c r="B18" s="81" t="str">
        <f>'Category Setup'!B138</f>
        <v>Fuel</v>
      </c>
      <c r="C18" s="67"/>
      <c r="D18" s="77">
        <f>IF($B18="","",SUMIFS(Expenses!$E:$E,Expenses!$F:$F,$B18,Expenses!$B:$B,"&gt;="&amp;$D$1,Expenses!$B:$B,"&lt;="&amp;$D$2))</f>
        <v>5</v>
      </c>
      <c r="E18" s="78">
        <f>IF($B18="","",'Total &amp; Budget Targets'!$G13*$D$3)</f>
        <v>0</v>
      </c>
      <c r="F18" s="67"/>
      <c r="G18" s="79">
        <f t="shared" si="0"/>
        <v>5</v>
      </c>
      <c r="H18" s="80">
        <f t="shared" si="1"/>
        <v>0</v>
      </c>
      <c r="I18" s="67"/>
    </row>
    <row r="19" spans="1:9" ht="15.75" customHeight="1" x14ac:dyDescent="0.25">
      <c r="A19" s="71">
        <f>'Category Setup'!A139</f>
        <v>11</v>
      </c>
      <c r="B19" s="81" t="str">
        <f>'Category Setup'!B139</f>
        <v>Gifts</v>
      </c>
      <c r="C19" s="67"/>
      <c r="D19" s="77">
        <f>IF($B19="","",SUMIFS(Expenses!$E:$E,Expenses!$F:$F,$B19,Expenses!$B:$B,"&gt;="&amp;$D$1,Expenses!$B:$B,"&lt;="&amp;$D$2))</f>
        <v>0</v>
      </c>
      <c r="E19" s="78">
        <f>IF($B19="","",'Total &amp; Budget Targets'!$G14*$D$3)</f>
        <v>0</v>
      </c>
      <c r="F19" s="67"/>
      <c r="G19" s="79">
        <f t="shared" si="0"/>
        <v>0</v>
      </c>
      <c r="H19" s="80">
        <f t="shared" si="1"/>
        <v>0</v>
      </c>
      <c r="I19" s="67"/>
    </row>
    <row r="20" spans="1:9" ht="15.75" customHeight="1" x14ac:dyDescent="0.25">
      <c r="A20" s="71">
        <f>'Category Setup'!A140</f>
        <v>12</v>
      </c>
      <c r="B20" s="81" t="str">
        <f>'Category Setup'!B140</f>
        <v>Groceries</v>
      </c>
      <c r="C20" s="67"/>
      <c r="D20" s="77">
        <f>IF($B20="","",SUMIFS(Expenses!$E:$E,Expenses!$F:$F,$B20,Expenses!$B:$B,"&gt;="&amp;$D$1,Expenses!$B:$B,"&lt;="&amp;$D$2))</f>
        <v>0</v>
      </c>
      <c r="E20" s="78">
        <f>IF($B20="","",'Total &amp; Budget Targets'!$G15*$D$3)</f>
        <v>0</v>
      </c>
      <c r="F20" s="67"/>
      <c r="G20" s="79">
        <f t="shared" si="0"/>
        <v>0</v>
      </c>
      <c r="H20" s="80">
        <f t="shared" si="1"/>
        <v>0</v>
      </c>
      <c r="I20" s="67"/>
    </row>
    <row r="21" spans="1:9" ht="15.75" customHeight="1" x14ac:dyDescent="0.25">
      <c r="A21" s="71">
        <f>'Category Setup'!A141</f>
        <v>13</v>
      </c>
      <c r="B21" s="81" t="str">
        <f>'Category Setup'!B141</f>
        <v>HouseHold</v>
      </c>
      <c r="C21" s="67"/>
      <c r="D21" s="77">
        <f>IF($B21="","",SUMIFS(Expenses!$E:$E,Expenses!$F:$F,$B21,Expenses!$B:$B,"&gt;="&amp;$D$1,Expenses!$B:$B,"&lt;="&amp;$D$2))</f>
        <v>0</v>
      </c>
      <c r="E21" s="78">
        <f>IF($B21="","",'Total &amp; Budget Targets'!$G16*$D$3)</f>
        <v>0</v>
      </c>
      <c r="F21" s="67"/>
      <c r="G21" s="79">
        <f t="shared" si="0"/>
        <v>0</v>
      </c>
      <c r="H21" s="80">
        <f t="shared" si="1"/>
        <v>0</v>
      </c>
      <c r="I21" s="67"/>
    </row>
    <row r="22" spans="1:9" ht="15.75" customHeight="1" x14ac:dyDescent="0.25">
      <c r="A22" s="71">
        <f>'Category Setup'!A142</f>
        <v>14</v>
      </c>
      <c r="B22" s="81" t="str">
        <f>'Category Setup'!B142</f>
        <v>Insurance</v>
      </c>
      <c r="C22" s="67"/>
      <c r="D22" s="77">
        <f>IF($B22="","",SUMIFS(Expenses!$E:$E,Expenses!$F:$F,$B22,Expenses!$B:$B,"&gt;="&amp;$D$1,Expenses!$B:$B,"&lt;="&amp;$D$2))</f>
        <v>0</v>
      </c>
      <c r="E22" s="78">
        <f>IF($B22="","",'Total &amp; Budget Targets'!$G17*$D$3)</f>
        <v>0</v>
      </c>
      <c r="F22" s="67"/>
      <c r="G22" s="79">
        <f t="shared" si="0"/>
        <v>0</v>
      </c>
      <c r="H22" s="80">
        <f t="shared" si="1"/>
        <v>0</v>
      </c>
      <c r="I22" s="67"/>
    </row>
    <row r="23" spans="1:9" ht="15.75" customHeight="1" x14ac:dyDescent="0.25">
      <c r="A23" s="71">
        <f>'Category Setup'!A143</f>
        <v>15</v>
      </c>
      <c r="B23" s="81" t="str">
        <f>'Category Setup'!B143</f>
        <v>Investments</v>
      </c>
      <c r="C23" s="67"/>
      <c r="D23" s="77">
        <f>IF($B23="","",SUMIFS(Expenses!$E:$E,Expenses!$F:$F,$B23,Expenses!$B:$B,"&gt;="&amp;$D$1,Expenses!$B:$B,"&lt;="&amp;$D$2))</f>
        <v>0</v>
      </c>
      <c r="E23" s="78">
        <f>IF($B23="","",'Total &amp; Budget Targets'!$G18*$D$3)</f>
        <v>0</v>
      </c>
      <c r="F23" s="67"/>
      <c r="G23" s="79">
        <f t="shared" si="0"/>
        <v>0</v>
      </c>
      <c r="H23" s="80">
        <f t="shared" si="1"/>
        <v>0</v>
      </c>
      <c r="I23" s="67"/>
    </row>
    <row r="24" spans="1:9" ht="15.75" customHeight="1" x14ac:dyDescent="0.25">
      <c r="A24" s="71">
        <f>'Category Setup'!A144</f>
        <v>16</v>
      </c>
      <c r="B24" s="81" t="str">
        <f>'Category Setup'!B144</f>
        <v>Loans Given &amp; Taken</v>
      </c>
      <c r="C24" s="67"/>
      <c r="D24" s="77">
        <f>IF($B24="","",SUMIFS(Expenses!$E:$E,Expenses!$F:$F,$B24,Expenses!$B:$B,"&gt;="&amp;$D$1,Expenses!$B:$B,"&lt;="&amp;$D$2))</f>
        <v>0</v>
      </c>
      <c r="E24" s="78">
        <f>IF($B24="","",'Total &amp; Budget Targets'!$G19*$D$3)</f>
        <v>0</v>
      </c>
      <c r="F24" s="67"/>
      <c r="G24" s="79">
        <f t="shared" si="0"/>
        <v>0</v>
      </c>
      <c r="H24" s="80">
        <f t="shared" si="1"/>
        <v>0</v>
      </c>
      <c r="I24" s="67"/>
    </row>
    <row r="25" spans="1:9" ht="15.75" customHeight="1" x14ac:dyDescent="0.25">
      <c r="A25" s="71">
        <f>'Category Setup'!A145</f>
        <v>17</v>
      </c>
      <c r="B25" s="81" t="str">
        <f>'Category Setup'!B145</f>
        <v>Medical</v>
      </c>
      <c r="C25" s="67"/>
      <c r="D25" s="77">
        <f>IF($B25="","",SUMIFS(Expenses!$E:$E,Expenses!$F:$F,$B25,Expenses!$B:$B,"&gt;="&amp;$D$1,Expenses!$B:$B,"&lt;="&amp;$D$2))</f>
        <v>0</v>
      </c>
      <c r="E25" s="78">
        <f>IF($B25="","",'Total &amp; Budget Targets'!$G20*$D$3)</f>
        <v>0</v>
      </c>
      <c r="F25" s="67"/>
      <c r="G25" s="79">
        <f t="shared" si="0"/>
        <v>0</v>
      </c>
      <c r="H25" s="80">
        <f t="shared" si="1"/>
        <v>0</v>
      </c>
      <c r="I25" s="67"/>
    </row>
    <row r="26" spans="1:9" ht="15.75" customHeight="1" x14ac:dyDescent="0.25">
      <c r="A26" s="71">
        <f>'Category Setup'!A146</f>
        <v>18</v>
      </c>
      <c r="B26" s="81" t="str">
        <f>'Category Setup'!B146</f>
        <v>Personal Care</v>
      </c>
      <c r="C26" s="67"/>
      <c r="D26" s="77">
        <f>IF($B26="","",SUMIFS(Expenses!$E:$E,Expenses!$F:$F,$B26,Expenses!$B:$B,"&gt;="&amp;$D$1,Expenses!$B:$B,"&lt;="&amp;$D$2))</f>
        <v>0</v>
      </c>
      <c r="E26" s="78">
        <f>IF($B26="","",'Total &amp; Budget Targets'!$G21*$D$3)</f>
        <v>0</v>
      </c>
      <c r="F26" s="67"/>
      <c r="G26" s="79">
        <f t="shared" si="0"/>
        <v>0</v>
      </c>
      <c r="H26" s="80">
        <f t="shared" si="1"/>
        <v>0</v>
      </c>
      <c r="I26" s="67"/>
    </row>
    <row r="27" spans="1:9" ht="15.75" customHeight="1" x14ac:dyDescent="0.25">
      <c r="A27" s="71">
        <f>'Category Setup'!A147</f>
        <v>19</v>
      </c>
      <c r="B27" s="81" t="str">
        <f>'Category Setup'!B147</f>
        <v>Rent</v>
      </c>
      <c r="C27" s="67"/>
      <c r="D27" s="77">
        <f>IF($B27="","",SUMIFS(Expenses!$E:$E,Expenses!$F:$F,$B27,Expenses!$B:$B,"&gt;="&amp;$D$1,Expenses!$B:$B,"&lt;="&amp;$D$2))</f>
        <v>0</v>
      </c>
      <c r="E27" s="78">
        <f>IF($B27="","",'Total &amp; Budget Targets'!$G22*$D$3)</f>
        <v>0</v>
      </c>
      <c r="F27" s="67"/>
      <c r="G27" s="79">
        <f t="shared" si="0"/>
        <v>0</v>
      </c>
      <c r="H27" s="80">
        <f t="shared" si="1"/>
        <v>0</v>
      </c>
      <c r="I27" s="67"/>
    </row>
    <row r="28" spans="1:9" ht="15.75" customHeight="1" x14ac:dyDescent="0.25">
      <c r="A28" s="71">
        <f>'Category Setup'!A148</f>
        <v>20</v>
      </c>
      <c r="B28" s="81" t="str">
        <f>'Category Setup'!B148</f>
        <v>Repair &amp; Maintenance</v>
      </c>
      <c r="C28" s="67"/>
      <c r="D28" s="77">
        <f>IF($B28="","",SUMIFS(Expenses!$E:$E,Expenses!$F:$F,$B28,Expenses!$B:$B,"&gt;="&amp;$D$1,Expenses!$B:$B,"&lt;="&amp;$D$2))</f>
        <v>0</v>
      </c>
      <c r="E28" s="78">
        <f>IF($B28="","",'Total &amp; Budget Targets'!$G23*$D$3)</f>
        <v>0</v>
      </c>
      <c r="F28" s="67"/>
      <c r="G28" s="79">
        <f t="shared" si="0"/>
        <v>0</v>
      </c>
      <c r="H28" s="80">
        <f t="shared" si="1"/>
        <v>0</v>
      </c>
      <c r="I28" s="67"/>
    </row>
    <row r="29" spans="1:9" ht="15.75" customHeight="1" x14ac:dyDescent="0.25">
      <c r="A29" s="71">
        <f>'Category Setup'!A149</f>
        <v>21</v>
      </c>
      <c r="B29" s="81" t="str">
        <f>'Category Setup'!B149</f>
        <v>Restaurant &amp; Dining Out</v>
      </c>
      <c r="C29" s="67"/>
      <c r="D29" s="77">
        <f>IF($B29="","",SUMIFS(Expenses!$E:$E,Expenses!$F:$F,$B29,Expenses!$B:$B,"&gt;="&amp;$D$1,Expenses!$B:$B,"&lt;="&amp;$D$2))</f>
        <v>33</v>
      </c>
      <c r="E29" s="78">
        <f>IF($B29="","",'Total &amp; Budget Targets'!$G24*$D$3)</f>
        <v>0</v>
      </c>
      <c r="F29" s="67"/>
      <c r="G29" s="79">
        <f t="shared" si="0"/>
        <v>33</v>
      </c>
      <c r="H29" s="80">
        <f t="shared" si="1"/>
        <v>0</v>
      </c>
      <c r="I29" s="67"/>
    </row>
    <row r="30" spans="1:9" ht="15.75" customHeight="1" x14ac:dyDescent="0.25">
      <c r="A30" s="71">
        <f>'Category Setup'!A150</f>
        <v>22</v>
      </c>
      <c r="B30" s="81" t="str">
        <f>'Category Setup'!B150</f>
        <v>Self Transfers</v>
      </c>
      <c r="C30" s="67"/>
      <c r="D30" s="77">
        <f>IF($B30="","",SUMIFS(Expenses!$E:$E,Expenses!$F:$F,$B30,Expenses!$B:$B,"&gt;="&amp;$D$1,Expenses!$B:$B,"&lt;="&amp;$D$2))</f>
        <v>0</v>
      </c>
      <c r="E30" s="78">
        <f>IF($B30="","",'Total &amp; Budget Targets'!$G25*$D$3)</f>
        <v>0</v>
      </c>
      <c r="F30" s="67"/>
      <c r="G30" s="79">
        <f t="shared" si="0"/>
        <v>0</v>
      </c>
      <c r="H30" s="80">
        <f t="shared" si="1"/>
        <v>0</v>
      </c>
      <c r="I30" s="67"/>
    </row>
    <row r="31" spans="1:9" ht="15.75" customHeight="1" x14ac:dyDescent="0.25">
      <c r="A31" s="71">
        <f>'Category Setup'!A151</f>
        <v>23</v>
      </c>
      <c r="B31" s="81" t="str">
        <f>'Category Setup'!B151</f>
        <v>Shopping</v>
      </c>
      <c r="C31" s="67"/>
      <c r="D31" s="77">
        <f>IF($B31="","",SUMIFS(Expenses!$E:$E,Expenses!$F:$F,$B31,Expenses!$B:$B,"&gt;="&amp;$D$1,Expenses!$B:$B,"&lt;="&amp;$D$2))</f>
        <v>0</v>
      </c>
      <c r="E31" s="78">
        <f>IF($B31="","",'Total &amp; Budget Targets'!$G26*$D$3)</f>
        <v>0</v>
      </c>
      <c r="F31" s="67"/>
      <c r="G31" s="79">
        <f t="shared" si="0"/>
        <v>0</v>
      </c>
      <c r="H31" s="80">
        <f t="shared" si="1"/>
        <v>0</v>
      </c>
      <c r="I31" s="67"/>
    </row>
    <row r="32" spans="1:9" ht="15.75" customHeight="1" x14ac:dyDescent="0.25">
      <c r="A32" s="71">
        <f>'Category Setup'!A152</f>
        <v>24</v>
      </c>
      <c r="B32" s="81" t="str">
        <f>'Category Setup'!B152</f>
        <v>Subscriptions &amp; Memberships</v>
      </c>
      <c r="C32" s="67"/>
      <c r="D32" s="77">
        <f>IF($B32="","",SUMIFS(Expenses!$E:$E,Expenses!$F:$F,$B32,Expenses!$B:$B,"&gt;="&amp;$D$1,Expenses!$B:$B,"&lt;="&amp;$D$2))</f>
        <v>0</v>
      </c>
      <c r="E32" s="78">
        <f>IF($B32="","",'Total &amp; Budget Targets'!$G27*$D$3)</f>
        <v>0</v>
      </c>
      <c r="F32" s="67"/>
      <c r="G32" s="79">
        <f t="shared" si="0"/>
        <v>0</v>
      </c>
      <c r="H32" s="80">
        <f t="shared" si="1"/>
        <v>0</v>
      </c>
      <c r="I32" s="67"/>
    </row>
    <row r="33" spans="1:9" ht="15.75" customHeight="1" x14ac:dyDescent="0.25">
      <c r="A33" s="71">
        <f>'Category Setup'!A153</f>
        <v>25</v>
      </c>
      <c r="B33" s="81" t="str">
        <f>'Category Setup'!B153</f>
        <v>Travel</v>
      </c>
      <c r="C33" s="67"/>
      <c r="D33" s="77">
        <f>IF($B33="","",SUMIFS(Expenses!$E:$E,Expenses!$F:$F,$B33,Expenses!$B:$B,"&gt;="&amp;$D$1,Expenses!$B:$B,"&lt;="&amp;$D$2))</f>
        <v>0</v>
      </c>
      <c r="E33" s="78">
        <f>IF($B33="","",'Total &amp; Budget Targets'!$G28*$D$3)</f>
        <v>0</v>
      </c>
      <c r="F33" s="67"/>
      <c r="G33" s="79">
        <f t="shared" si="0"/>
        <v>0</v>
      </c>
      <c r="H33" s="80">
        <f t="shared" si="1"/>
        <v>0</v>
      </c>
      <c r="I33" s="67"/>
    </row>
    <row r="34" spans="1:9" ht="15.75" customHeight="1" x14ac:dyDescent="0.25">
      <c r="A34" s="71">
        <f>'Category Setup'!A154</f>
        <v>26</v>
      </c>
      <c r="B34" s="81" t="str">
        <f>'Category Setup'!B154</f>
        <v>Fines &amp; Penalties</v>
      </c>
      <c r="C34" s="67"/>
      <c r="D34" s="77">
        <f>IF($B34="","",SUMIFS(Expenses!$E:$E,Expenses!$F:$F,$B34,Expenses!$B:$B,"&gt;="&amp;$D$1,Expenses!$B:$B,"&lt;="&amp;$D$2))</f>
        <v>0</v>
      </c>
      <c r="E34" s="78">
        <f>IF($B34="","",'Total &amp; Budget Targets'!$G29*$D$3)</f>
        <v>0</v>
      </c>
      <c r="F34" s="67"/>
      <c r="G34" s="79">
        <f t="shared" si="0"/>
        <v>0</v>
      </c>
      <c r="H34" s="80">
        <f t="shared" si="1"/>
        <v>0</v>
      </c>
      <c r="I34" s="67"/>
    </row>
    <row r="35" spans="1:9" ht="15.75" customHeight="1" x14ac:dyDescent="0.25">
      <c r="A35" s="71">
        <f>'Category Setup'!A155</f>
        <v>27</v>
      </c>
      <c r="B35" s="81" t="str">
        <f>'Category Setup'!B155</f>
        <v>Other</v>
      </c>
      <c r="C35" s="67"/>
      <c r="D35" s="77">
        <f>IF($B35="","",SUMIFS(Expenses!$E:$E,Expenses!$F:$F,$B35,Expenses!$B:$B,"&gt;="&amp;$D$1,Expenses!$B:$B,"&lt;="&amp;$D$2))</f>
        <v>0</v>
      </c>
      <c r="E35" s="78">
        <f>IF($B35="","",'Total &amp; Budget Targets'!$G30*$D$3)</f>
        <v>0</v>
      </c>
      <c r="F35" s="67"/>
      <c r="G35" s="79">
        <f t="shared" si="0"/>
        <v>0</v>
      </c>
      <c r="H35" s="80">
        <f t="shared" si="1"/>
        <v>0</v>
      </c>
      <c r="I35" s="67"/>
    </row>
    <row r="36" spans="1:9" ht="15.75" customHeight="1" x14ac:dyDescent="0.25">
      <c r="A36" s="71" t="str">
        <f>'Category Setup'!A156</f>
        <v/>
      </c>
      <c r="B36" s="81" t="str">
        <f>'Category Setup'!B156</f>
        <v/>
      </c>
      <c r="C36" s="67"/>
      <c r="D36" s="82" t="str">
        <f>IF($B36="","",SUMIFS(Expenses!$E:$E,Expenses!$F:$F,$B36,Expenses!$B:$B,"&gt;="&amp;$D$1,Expenses!$B:$B,"&lt;="&amp;$D$2))</f>
        <v/>
      </c>
      <c r="E36" s="83" t="str">
        <f>IF($B36="","",'Total &amp; Budget Targets'!$G31*$D$3)</f>
        <v/>
      </c>
      <c r="F36" s="67"/>
      <c r="G36" s="84" t="str">
        <f t="shared" si="0"/>
        <v/>
      </c>
      <c r="H36" s="85" t="str">
        <f t="shared" si="1"/>
        <v/>
      </c>
      <c r="I36" s="67"/>
    </row>
    <row r="37" spans="1:9" ht="15.75" customHeight="1" x14ac:dyDescent="0.25">
      <c r="A37" s="71" t="str">
        <f>'Category Setup'!A157</f>
        <v/>
      </c>
      <c r="B37" s="81" t="str">
        <f>'Category Setup'!B157</f>
        <v/>
      </c>
      <c r="C37" s="67"/>
      <c r="D37" s="82" t="str">
        <f>IF($B37="","",SUMIFS(Expenses!$E:$E,Expenses!$F:$F,$B37,Expenses!$B:$B,"&gt;="&amp;$D$1,Expenses!$B:$B,"&lt;="&amp;$D$2))</f>
        <v/>
      </c>
      <c r="E37" s="83" t="str">
        <f>IF($B37="","",'Total &amp; Budget Targets'!$G32*$D$3)</f>
        <v/>
      </c>
      <c r="F37" s="67"/>
      <c r="G37" s="84" t="str">
        <f t="shared" si="0"/>
        <v/>
      </c>
      <c r="H37" s="85" t="str">
        <f t="shared" si="1"/>
        <v/>
      </c>
      <c r="I37" s="67"/>
    </row>
    <row r="38" spans="1:9" ht="15.75" customHeight="1" x14ac:dyDescent="0.25">
      <c r="A38" s="71" t="str">
        <f>'Category Setup'!A158</f>
        <v/>
      </c>
      <c r="B38" s="81" t="str">
        <f>'Category Setup'!B158</f>
        <v/>
      </c>
      <c r="C38" s="67"/>
      <c r="D38" s="82" t="str">
        <f>IF($B38="","",SUMIFS(Expenses!$E:$E,Expenses!$F:$F,$B38,Expenses!$B:$B,"&gt;="&amp;$D$1,Expenses!$B:$B,"&lt;="&amp;$D$2))</f>
        <v/>
      </c>
      <c r="E38" s="83" t="str">
        <f>IF($B38="","",'Total &amp; Budget Targets'!$G33*$D$3)</f>
        <v/>
      </c>
      <c r="F38" s="67"/>
      <c r="G38" s="84" t="str">
        <f t="shared" si="0"/>
        <v/>
      </c>
      <c r="H38" s="85" t="str">
        <f t="shared" si="1"/>
        <v/>
      </c>
      <c r="I38" s="67"/>
    </row>
    <row r="39" spans="1:9" ht="15.75" customHeight="1" x14ac:dyDescent="0.25">
      <c r="A39" s="71" t="str">
        <f>'Category Setup'!A159</f>
        <v/>
      </c>
      <c r="B39" s="81" t="str">
        <f>'Category Setup'!B159</f>
        <v/>
      </c>
      <c r="C39" s="67"/>
      <c r="D39" s="82" t="str">
        <f>IF($B39="","",SUMIFS(Expenses!$E:$E,Expenses!$F:$F,$B39,Expenses!$B:$B,"&gt;="&amp;$D$1,Expenses!$B:$B,"&lt;="&amp;$D$2))</f>
        <v/>
      </c>
      <c r="E39" s="83" t="str">
        <f>IF($B39="","",'Total &amp; Budget Targets'!$G34*$D$3)</f>
        <v/>
      </c>
      <c r="F39" s="67"/>
      <c r="G39" s="84" t="str">
        <f t="shared" si="0"/>
        <v/>
      </c>
      <c r="H39" s="85" t="str">
        <f t="shared" si="1"/>
        <v/>
      </c>
      <c r="I39" s="67"/>
    </row>
    <row r="40" spans="1:9" ht="15.75" customHeight="1" x14ac:dyDescent="0.25">
      <c r="A40" s="71" t="str">
        <f>'Category Setup'!A160</f>
        <v/>
      </c>
      <c r="B40" s="81" t="str">
        <f>'Category Setup'!B160</f>
        <v/>
      </c>
      <c r="C40" s="67"/>
      <c r="D40" s="82" t="str">
        <f>IF($B40="","",SUMIFS(Expenses!$E:$E,Expenses!$F:$F,$B40,Expenses!$B:$B,"&gt;="&amp;$D$1,Expenses!$B:$B,"&lt;="&amp;$D$2))</f>
        <v/>
      </c>
      <c r="E40" s="83" t="str">
        <f>IF($B40="","",'Total &amp; Budget Targets'!$G35*$D$3)</f>
        <v/>
      </c>
      <c r="F40" s="67"/>
      <c r="G40" s="84" t="str">
        <f t="shared" si="0"/>
        <v/>
      </c>
      <c r="H40" s="85" t="str">
        <f t="shared" si="1"/>
        <v/>
      </c>
      <c r="I40" s="67"/>
    </row>
    <row r="41" spans="1:9" ht="15.75" customHeight="1" x14ac:dyDescent="0.25">
      <c r="A41" s="71" t="str">
        <f>'Category Setup'!A161</f>
        <v/>
      </c>
      <c r="B41" s="81" t="str">
        <f>'Category Setup'!B161</f>
        <v/>
      </c>
      <c r="C41" s="67"/>
      <c r="D41" s="82" t="str">
        <f>IF($B41="","",SUMIFS(Expenses!$E:$E,Expenses!$F:$F,$B41,Expenses!$B:$B,"&gt;="&amp;$D$1,Expenses!$B:$B,"&lt;="&amp;$D$2))</f>
        <v/>
      </c>
      <c r="E41" s="83" t="str">
        <f>IF($B41="","",'Total &amp; Budget Targets'!$G36*$D$3)</f>
        <v/>
      </c>
      <c r="F41" s="67"/>
      <c r="G41" s="84" t="str">
        <f t="shared" si="0"/>
        <v/>
      </c>
      <c r="H41" s="85" t="str">
        <f t="shared" si="1"/>
        <v/>
      </c>
      <c r="I41" s="67"/>
    </row>
    <row r="42" spans="1:9" ht="15.75" customHeight="1" x14ac:dyDescent="0.25">
      <c r="A42" s="71" t="str">
        <f>'Category Setup'!A162</f>
        <v/>
      </c>
      <c r="B42" s="81" t="str">
        <f>'Category Setup'!B162</f>
        <v/>
      </c>
      <c r="C42" s="67"/>
      <c r="D42" s="82" t="str">
        <f>IF($B42="","",SUMIFS(Expenses!$E:$E,Expenses!$F:$F,$B42,Expenses!$B:$B,"&gt;="&amp;$D$1,Expenses!$B:$B,"&lt;="&amp;$D$2))</f>
        <v/>
      </c>
      <c r="E42" s="83" t="str">
        <f>IF($B42="","",'Total &amp; Budget Targets'!$G37*$D$3)</f>
        <v/>
      </c>
      <c r="F42" s="67"/>
      <c r="G42" s="84" t="str">
        <f t="shared" si="0"/>
        <v/>
      </c>
      <c r="H42" s="85" t="str">
        <f t="shared" si="1"/>
        <v/>
      </c>
      <c r="I42" s="67"/>
    </row>
    <row r="43" spans="1:9" ht="15.75" customHeight="1" x14ac:dyDescent="0.25">
      <c r="A43" s="71" t="str">
        <f>'Category Setup'!A163</f>
        <v/>
      </c>
      <c r="B43" s="81" t="str">
        <f>'Category Setup'!B163</f>
        <v/>
      </c>
      <c r="C43" s="67"/>
      <c r="D43" s="82" t="str">
        <f>IF($B43="","",SUMIFS(Expenses!$E:$E,Expenses!$F:$F,$B43,Expenses!$B:$B,"&gt;="&amp;$D$1,Expenses!$B:$B,"&lt;="&amp;$D$2))</f>
        <v/>
      </c>
      <c r="E43" s="83" t="str">
        <f>IF($B43="","",'Total &amp; Budget Targets'!$G38*$D$3)</f>
        <v/>
      </c>
      <c r="F43" s="67"/>
      <c r="G43" s="84" t="str">
        <f t="shared" si="0"/>
        <v/>
      </c>
      <c r="H43" s="85" t="str">
        <f t="shared" si="1"/>
        <v/>
      </c>
      <c r="I43" s="67"/>
    </row>
    <row r="44" spans="1:9" ht="15.75" customHeight="1" x14ac:dyDescent="0.25">
      <c r="A44" s="71" t="str">
        <f>'Category Setup'!A164</f>
        <v/>
      </c>
      <c r="B44" s="81" t="str">
        <f>'Category Setup'!B164</f>
        <v/>
      </c>
      <c r="C44" s="67"/>
      <c r="D44" s="82" t="str">
        <f>IF($B44="","",SUMIFS(Expenses!$E:$E,Expenses!$F:$F,$B44,Expenses!$B:$B,"&gt;="&amp;$D$1,Expenses!$B:$B,"&lt;="&amp;$D$2))</f>
        <v/>
      </c>
      <c r="E44" s="83" t="str">
        <f>IF($B44="","",'Total &amp; Budget Targets'!$G39*$D$3)</f>
        <v/>
      </c>
      <c r="F44" s="67"/>
      <c r="G44" s="84" t="str">
        <f t="shared" si="0"/>
        <v/>
      </c>
      <c r="H44" s="85" t="str">
        <f t="shared" si="1"/>
        <v/>
      </c>
      <c r="I44" s="67"/>
    </row>
    <row r="45" spans="1:9" ht="15.75" customHeight="1" x14ac:dyDescent="0.25">
      <c r="A45" s="71" t="str">
        <f>'Category Setup'!A165</f>
        <v/>
      </c>
      <c r="B45" s="81" t="str">
        <f>'Category Setup'!B165</f>
        <v/>
      </c>
      <c r="C45" s="67"/>
      <c r="D45" s="82" t="str">
        <f>IF($B45="","",SUMIFS(Expenses!$E:$E,Expenses!$F:$F,$B45,Expenses!$B:$B,"&gt;="&amp;$D$1,Expenses!$B:$B,"&lt;="&amp;$D$2))</f>
        <v/>
      </c>
      <c r="E45" s="83" t="str">
        <f>IF($B45="","",'Total &amp; Budget Targets'!$G40*$D$3)</f>
        <v/>
      </c>
      <c r="F45" s="67"/>
      <c r="G45" s="84" t="str">
        <f t="shared" si="0"/>
        <v/>
      </c>
      <c r="H45" s="85" t="str">
        <f t="shared" si="1"/>
        <v/>
      </c>
      <c r="I45" s="67"/>
    </row>
    <row r="46" spans="1:9" ht="15.75" customHeight="1" x14ac:dyDescent="0.25">
      <c r="A46" s="71" t="str">
        <f>'Category Setup'!A166</f>
        <v/>
      </c>
      <c r="B46" s="81" t="str">
        <f>'Category Setup'!B166</f>
        <v/>
      </c>
      <c r="C46" s="67"/>
      <c r="D46" s="82" t="str">
        <f>IF($B46="","",SUMIFS(Expenses!$E:$E,Expenses!$F:$F,$B46,Expenses!$B:$B,"&gt;="&amp;$D$1,Expenses!$B:$B,"&lt;="&amp;$D$2))</f>
        <v/>
      </c>
      <c r="E46" s="83" t="str">
        <f>IF($B46="","",'Total &amp; Budget Targets'!$G41*$D$3)</f>
        <v/>
      </c>
      <c r="F46" s="67"/>
      <c r="G46" s="84" t="str">
        <f t="shared" si="0"/>
        <v/>
      </c>
      <c r="H46" s="85" t="str">
        <f t="shared" si="1"/>
        <v/>
      </c>
      <c r="I46" s="67"/>
    </row>
    <row r="47" spans="1:9" ht="15.75" customHeight="1" x14ac:dyDescent="0.25">
      <c r="A47" s="71" t="str">
        <f>'Category Setup'!A167</f>
        <v/>
      </c>
      <c r="B47" s="81" t="str">
        <f>'Category Setup'!B167</f>
        <v/>
      </c>
      <c r="C47" s="67"/>
      <c r="D47" s="82" t="str">
        <f>IF($B47="","",SUMIFS(Expenses!$E:$E,Expenses!$F:$F,$B47,Expenses!$B:$B,"&gt;="&amp;$D$1,Expenses!$B:$B,"&lt;="&amp;$D$2))</f>
        <v/>
      </c>
      <c r="E47" s="83" t="str">
        <f>IF($B47="","",'Total &amp; Budget Targets'!$G42*$D$3)</f>
        <v/>
      </c>
      <c r="F47" s="67"/>
      <c r="G47" s="84" t="str">
        <f t="shared" si="0"/>
        <v/>
      </c>
      <c r="H47" s="85" t="str">
        <f t="shared" si="1"/>
        <v/>
      </c>
      <c r="I47" s="67"/>
    </row>
    <row r="48" spans="1:9" ht="15.75" customHeight="1" x14ac:dyDescent="0.25">
      <c r="A48" s="71" t="str">
        <f>'Category Setup'!A168</f>
        <v/>
      </c>
      <c r="B48" s="86" t="str">
        <f>'Category Setup'!B168</f>
        <v/>
      </c>
      <c r="C48" s="67"/>
      <c r="D48" s="87" t="str">
        <f>IF($B48="","",SUMIFS(Expenses!$E:$E,Expenses!$F:$F,$B48,Expenses!$B:$B,"&gt;="&amp;$D$1,Expenses!$B:$B,"&lt;="&amp;$D$2))</f>
        <v/>
      </c>
      <c r="E48" s="88" t="str">
        <f>IF($B48="","",'Total &amp; Budget Targets'!$G43*$D$3)</f>
        <v/>
      </c>
      <c r="F48" s="67"/>
      <c r="G48" s="89" t="str">
        <f t="shared" si="0"/>
        <v/>
      </c>
      <c r="H48" s="90" t="str">
        <f t="shared" si="1"/>
        <v/>
      </c>
      <c r="I48" s="67"/>
    </row>
    <row r="49" spans="1:9" ht="15.75" customHeight="1" x14ac:dyDescent="0.25">
      <c r="A49" s="71"/>
      <c r="B49" s="73" t="s">
        <v>62</v>
      </c>
      <c r="C49" s="65"/>
      <c r="D49" s="91">
        <f t="shared" ref="D49:E49" si="2">SUM(D9:D48)</f>
        <v>38</v>
      </c>
      <c r="E49" s="92">
        <f t="shared" si="2"/>
        <v>0</v>
      </c>
      <c r="F49" s="93"/>
      <c r="G49" s="94">
        <f>SUM(G9:G48)</f>
        <v>38</v>
      </c>
      <c r="H49" s="95">
        <f t="shared" si="1"/>
        <v>0</v>
      </c>
      <c r="I49" s="67"/>
    </row>
    <row r="50" spans="1:9" ht="15.75" customHeight="1" x14ac:dyDescent="0.2">
      <c r="A50" s="71"/>
      <c r="B50" s="96"/>
      <c r="C50" s="67"/>
      <c r="D50" s="67"/>
      <c r="E50" s="67"/>
      <c r="F50" s="67"/>
      <c r="G50" s="67"/>
      <c r="H50" s="67"/>
      <c r="I50" s="67"/>
    </row>
    <row r="51" spans="1:9" ht="15.75" customHeight="1" x14ac:dyDescent="0.25">
      <c r="A51" s="71"/>
      <c r="B51" s="96"/>
      <c r="C51" s="67"/>
      <c r="D51" s="235" t="s">
        <v>63</v>
      </c>
      <c r="E51" s="232"/>
      <c r="F51" s="67"/>
      <c r="G51" s="235" t="s">
        <v>64</v>
      </c>
      <c r="H51" s="232"/>
      <c r="I51" s="67"/>
    </row>
    <row r="52" spans="1:9" ht="15.75" customHeight="1" x14ac:dyDescent="0.25">
      <c r="A52" s="71"/>
      <c r="B52" s="97" t="s">
        <v>65</v>
      </c>
      <c r="C52" s="67"/>
      <c r="D52" s="74" t="s">
        <v>66</v>
      </c>
      <c r="E52" s="75" t="s">
        <v>59</v>
      </c>
      <c r="F52" s="67"/>
      <c r="G52" s="74" t="s">
        <v>60</v>
      </c>
      <c r="H52" s="75" t="s">
        <v>61</v>
      </c>
      <c r="I52" s="67"/>
    </row>
    <row r="53" spans="1:9" ht="15.75" customHeight="1" x14ac:dyDescent="0.25">
      <c r="A53" s="71">
        <f>'Category Setup'!A175</f>
        <v>1</v>
      </c>
      <c r="B53" s="76" t="str">
        <f>'Category Setup'!B175</f>
        <v>Expense Money</v>
      </c>
      <c r="C53" s="67"/>
      <c r="D53" s="77">
        <f>IF($B53="","",SUMIFS(Income!$D:$D,Income!$E:$E,$B53,Income!$B:$B,"&gt;="&amp;$D$1,Income!$B:$B,"&lt;="&amp;$D$2))</f>
        <v>0</v>
      </c>
      <c r="E53" s="78">
        <f>IF($B53="","",'Total &amp; Budget Targets'!$G48*$D$3)</f>
        <v>0</v>
      </c>
      <c r="F53" s="67"/>
      <c r="G53" s="79">
        <f t="shared" ref="G53:G67" si="3">IF($B53="","",D53-E53)</f>
        <v>0</v>
      </c>
      <c r="H53" s="80">
        <f t="shared" ref="H53:H68" si="4">IF($B53="","",IFERROR(D53/E53,0))</f>
        <v>0</v>
      </c>
      <c r="I53" s="67"/>
    </row>
    <row r="54" spans="1:9" ht="15.75" customHeight="1" x14ac:dyDescent="0.25">
      <c r="A54" s="71">
        <f>'Category Setup'!A176</f>
        <v>2</v>
      </c>
      <c r="B54" s="81" t="str">
        <f>'Category Setup'!B176</f>
        <v>Job / Salary</v>
      </c>
      <c r="C54" s="67"/>
      <c r="D54" s="77">
        <f>IF($B54="","",SUMIFS(Income!$D:$D,Income!$E:$E,$B54,Income!$B:$B,"&gt;="&amp;$D$1,Income!$B:$B,"&lt;="&amp;$D$2))</f>
        <v>300</v>
      </c>
      <c r="E54" s="78">
        <f>IF($B54="","",'Total &amp; Budget Targets'!$G49*$D$3)</f>
        <v>0</v>
      </c>
      <c r="F54" s="67"/>
      <c r="G54" s="79">
        <f t="shared" si="3"/>
        <v>300</v>
      </c>
      <c r="H54" s="80">
        <f t="shared" si="4"/>
        <v>0</v>
      </c>
      <c r="I54" s="67"/>
    </row>
    <row r="55" spans="1:9" ht="15.75" customHeight="1" x14ac:dyDescent="0.25">
      <c r="A55" s="71">
        <f>'Category Setup'!A177</f>
        <v>3</v>
      </c>
      <c r="B55" s="81" t="str">
        <f>'Category Setup'!B177</f>
        <v>Side Income</v>
      </c>
      <c r="C55" s="67"/>
      <c r="D55" s="77">
        <f>IF($B55="","",SUMIFS(Income!$D:$D,Income!$E:$E,$B55,Income!$B:$B,"&gt;="&amp;$D$1,Income!$B:$B,"&lt;="&amp;$D$2))</f>
        <v>0</v>
      </c>
      <c r="E55" s="78">
        <f>IF($B55="","",'Total &amp; Budget Targets'!$G50*$D$3)</f>
        <v>0</v>
      </c>
      <c r="F55" s="67"/>
      <c r="G55" s="79">
        <f t="shared" si="3"/>
        <v>0</v>
      </c>
      <c r="H55" s="80">
        <f t="shared" si="4"/>
        <v>0</v>
      </c>
      <c r="I55" s="67"/>
    </row>
    <row r="56" spans="1:9" ht="15.75" customHeight="1" x14ac:dyDescent="0.25">
      <c r="A56" s="71" t="str">
        <f>'Category Setup'!A178</f>
        <v/>
      </c>
      <c r="B56" s="81" t="str">
        <f>'Category Setup'!B178</f>
        <v/>
      </c>
      <c r="C56" s="67"/>
      <c r="D56" s="77" t="str">
        <f>IF($B56="","",SUMIFS(Income!$D:$D,Income!$E:$E,$B56,Income!$B:$B,"&gt;="&amp;$D$1,Income!$B:$B,"&lt;="&amp;$D$2))</f>
        <v/>
      </c>
      <c r="E56" s="78" t="str">
        <f>IF($B56="","",'Total &amp; Budget Targets'!$G51*$D$3)</f>
        <v/>
      </c>
      <c r="F56" s="67"/>
      <c r="G56" s="79" t="str">
        <f t="shared" si="3"/>
        <v/>
      </c>
      <c r="H56" s="80" t="str">
        <f t="shared" si="4"/>
        <v/>
      </c>
      <c r="I56" s="67"/>
    </row>
    <row r="57" spans="1:9" ht="15.75" customHeight="1" x14ac:dyDescent="0.25">
      <c r="A57" s="71" t="str">
        <f>'Category Setup'!A179</f>
        <v/>
      </c>
      <c r="B57" s="81" t="str">
        <f>'Category Setup'!B179</f>
        <v/>
      </c>
      <c r="C57" s="67"/>
      <c r="D57" s="77" t="str">
        <f>IF($B57="","",SUMIFS(Income!$D:$D,Income!$E:$E,$B57,Income!$B:$B,"&gt;="&amp;$D$1,Income!$B:$B,"&lt;="&amp;$D$2))</f>
        <v/>
      </c>
      <c r="E57" s="78" t="str">
        <f>IF($B57="","",'Total &amp; Budget Targets'!$G52*$D$3)</f>
        <v/>
      </c>
      <c r="F57" s="67"/>
      <c r="G57" s="79" t="str">
        <f t="shared" si="3"/>
        <v/>
      </c>
      <c r="H57" s="80" t="str">
        <f t="shared" si="4"/>
        <v/>
      </c>
      <c r="I57" s="67"/>
    </row>
    <row r="58" spans="1:9" ht="15.75" customHeight="1" x14ac:dyDescent="0.25">
      <c r="A58" s="71" t="str">
        <f>'Category Setup'!A180</f>
        <v/>
      </c>
      <c r="B58" s="81" t="str">
        <f>'Category Setup'!B180</f>
        <v/>
      </c>
      <c r="C58" s="67"/>
      <c r="D58" s="77" t="str">
        <f>IF($B58="","",SUMIFS(Income!$D:$D,Income!$E:$E,$B58,Income!$B:$B,"&gt;="&amp;$D$1,Income!$B:$B,"&lt;="&amp;$D$2))</f>
        <v/>
      </c>
      <c r="E58" s="78" t="str">
        <f>IF($B58="","",'Total &amp; Budget Targets'!$G53*$D$3)</f>
        <v/>
      </c>
      <c r="F58" s="67"/>
      <c r="G58" s="79" t="str">
        <f t="shared" si="3"/>
        <v/>
      </c>
      <c r="H58" s="80" t="str">
        <f t="shared" si="4"/>
        <v/>
      </c>
      <c r="I58" s="67"/>
    </row>
    <row r="59" spans="1:9" ht="15.75" customHeight="1" x14ac:dyDescent="0.25">
      <c r="A59" s="71" t="str">
        <f>'Category Setup'!A181</f>
        <v/>
      </c>
      <c r="B59" s="81" t="str">
        <f>'Category Setup'!B181</f>
        <v/>
      </c>
      <c r="C59" s="67"/>
      <c r="D59" s="77" t="str">
        <f>IF($B59="","",SUMIFS(Income!$D:$D,Income!$E:$E,$B59,Income!$B:$B,"&gt;="&amp;$D$1,Income!$B:$B,"&lt;="&amp;$D$2))</f>
        <v/>
      </c>
      <c r="E59" s="78" t="str">
        <f>IF($B59="","",'Total &amp; Budget Targets'!$G54*$D$3)</f>
        <v/>
      </c>
      <c r="F59" s="67"/>
      <c r="G59" s="79" t="str">
        <f t="shared" si="3"/>
        <v/>
      </c>
      <c r="H59" s="80" t="str">
        <f t="shared" si="4"/>
        <v/>
      </c>
      <c r="I59" s="67"/>
    </row>
    <row r="60" spans="1:9" ht="15.75" customHeight="1" x14ac:dyDescent="0.25">
      <c r="A60" s="71" t="str">
        <f>'Category Setup'!A182</f>
        <v/>
      </c>
      <c r="B60" s="81" t="str">
        <f>'Category Setup'!B182</f>
        <v/>
      </c>
      <c r="C60" s="67"/>
      <c r="D60" s="77" t="str">
        <f>IF($B60="","",SUMIFS(Income!$D:$D,Income!$E:$E,$B60,Income!$B:$B,"&gt;="&amp;$D$1,Income!$B:$B,"&lt;="&amp;$D$2))</f>
        <v/>
      </c>
      <c r="E60" s="78" t="str">
        <f>IF($B60="","",'Total &amp; Budget Targets'!$G55*$D$3)</f>
        <v/>
      </c>
      <c r="F60" s="67"/>
      <c r="G60" s="84" t="str">
        <f t="shared" si="3"/>
        <v/>
      </c>
      <c r="H60" s="85" t="str">
        <f t="shared" si="4"/>
        <v/>
      </c>
      <c r="I60" s="67"/>
    </row>
    <row r="61" spans="1:9" ht="15.75" customHeight="1" x14ac:dyDescent="0.25">
      <c r="A61" s="71" t="str">
        <f>'Category Setup'!A183</f>
        <v/>
      </c>
      <c r="B61" s="81" t="str">
        <f>'Category Setup'!B183</f>
        <v/>
      </c>
      <c r="C61" s="67"/>
      <c r="D61" s="82" t="str">
        <f>IF($B61="","",SUMIFS(Income!$D:$D,Income!$E:$E,$B61,Income!$B:$B,"&gt;="&amp;$D$1,Income!$B:$B,"&lt;="&amp;$D$2))</f>
        <v/>
      </c>
      <c r="E61" s="83" t="str">
        <f>IF($B61="","",'Total &amp; Budget Targets'!$G56*$D$3)</f>
        <v/>
      </c>
      <c r="F61" s="67"/>
      <c r="G61" s="84" t="str">
        <f t="shared" si="3"/>
        <v/>
      </c>
      <c r="H61" s="85" t="str">
        <f t="shared" si="4"/>
        <v/>
      </c>
      <c r="I61" s="67"/>
    </row>
    <row r="62" spans="1:9" ht="15.75" customHeight="1" x14ac:dyDescent="0.25">
      <c r="A62" s="71" t="str">
        <f>'Category Setup'!A184</f>
        <v/>
      </c>
      <c r="B62" s="81" t="str">
        <f>'Category Setup'!B184</f>
        <v/>
      </c>
      <c r="C62" s="67"/>
      <c r="D62" s="82" t="str">
        <f>IF($B62="","",SUMIFS(Income!$D:$D,Income!$E:$E,$B62,Income!$B:$B,"&gt;="&amp;$D$1,Income!$B:$B,"&lt;="&amp;$D$2))</f>
        <v/>
      </c>
      <c r="E62" s="83" t="str">
        <f>IF($B62="","",'Total &amp; Budget Targets'!$G57*$D$3)</f>
        <v/>
      </c>
      <c r="F62" s="67"/>
      <c r="G62" s="84" t="str">
        <f t="shared" si="3"/>
        <v/>
      </c>
      <c r="H62" s="85" t="str">
        <f t="shared" si="4"/>
        <v/>
      </c>
      <c r="I62" s="67"/>
    </row>
    <row r="63" spans="1:9" ht="15.75" customHeight="1" x14ac:dyDescent="0.25">
      <c r="A63" s="71" t="str">
        <f>'Category Setup'!A185</f>
        <v/>
      </c>
      <c r="B63" s="81" t="str">
        <f>'Category Setup'!B185</f>
        <v/>
      </c>
      <c r="C63" s="67"/>
      <c r="D63" s="82" t="str">
        <f>IF($B63="","",SUMIFS(Income!$D:$D,Income!$E:$E,$B63,Income!$B:$B,"&gt;="&amp;$D$1,Income!$B:$B,"&lt;="&amp;$D$2))</f>
        <v/>
      </c>
      <c r="E63" s="83" t="str">
        <f>IF($B63="","",'Total &amp; Budget Targets'!$G58*$D$3)</f>
        <v/>
      </c>
      <c r="F63" s="67"/>
      <c r="G63" s="84" t="str">
        <f t="shared" si="3"/>
        <v/>
      </c>
      <c r="H63" s="85" t="str">
        <f t="shared" si="4"/>
        <v/>
      </c>
      <c r="I63" s="67"/>
    </row>
    <row r="64" spans="1:9" ht="15.75" customHeight="1" x14ac:dyDescent="0.25">
      <c r="A64" s="71" t="str">
        <f>'Category Setup'!A186</f>
        <v/>
      </c>
      <c r="B64" s="81" t="str">
        <f>'Category Setup'!B186</f>
        <v/>
      </c>
      <c r="C64" s="67"/>
      <c r="D64" s="82" t="str">
        <f>IF($B64="","",SUMIFS(Income!$D:$D,Income!$E:$E,$B64,Income!$B:$B,"&gt;="&amp;$D$1,Income!$B:$B,"&lt;="&amp;$D$2))</f>
        <v/>
      </c>
      <c r="E64" s="83" t="str">
        <f>IF($B64="","",'Total &amp; Budget Targets'!$G59*$D$3)</f>
        <v/>
      </c>
      <c r="F64" s="67"/>
      <c r="G64" s="84" t="str">
        <f t="shared" si="3"/>
        <v/>
      </c>
      <c r="H64" s="85" t="str">
        <f t="shared" si="4"/>
        <v/>
      </c>
      <c r="I64" s="67"/>
    </row>
    <row r="65" spans="1:9" ht="15.75" customHeight="1" x14ac:dyDescent="0.25">
      <c r="A65" s="71" t="str">
        <f>'Category Setup'!A187</f>
        <v/>
      </c>
      <c r="B65" s="81" t="str">
        <f>'Category Setup'!B187</f>
        <v/>
      </c>
      <c r="C65" s="67"/>
      <c r="D65" s="82" t="str">
        <f>IF($B65="","",SUMIFS(Income!$D:$D,Income!$E:$E,$B65,Income!$B:$B,"&gt;="&amp;$D$1,Income!$B:$B,"&lt;="&amp;$D$2))</f>
        <v/>
      </c>
      <c r="E65" s="83" t="str">
        <f>IF($B65="","",'Total &amp; Budget Targets'!$G60*$D$3)</f>
        <v/>
      </c>
      <c r="F65" s="67"/>
      <c r="G65" s="84" t="str">
        <f t="shared" si="3"/>
        <v/>
      </c>
      <c r="H65" s="85" t="str">
        <f t="shared" si="4"/>
        <v/>
      </c>
      <c r="I65" s="67"/>
    </row>
    <row r="66" spans="1:9" ht="15.75" customHeight="1" x14ac:dyDescent="0.25">
      <c r="A66" s="71" t="str">
        <f>'Category Setup'!A188</f>
        <v/>
      </c>
      <c r="B66" s="81" t="str">
        <f>'Category Setup'!B188</f>
        <v/>
      </c>
      <c r="C66" s="67"/>
      <c r="D66" s="82" t="str">
        <f>IF($B66="","",SUMIFS(Income!$D:$D,Income!$E:$E,$B66,Income!$B:$B,"&gt;="&amp;$D$1,Income!$B:$B,"&lt;="&amp;$D$2))</f>
        <v/>
      </c>
      <c r="E66" s="83" t="str">
        <f>IF($B66="","",'Total &amp; Budget Targets'!$G61*$D$3)</f>
        <v/>
      </c>
      <c r="F66" s="67"/>
      <c r="G66" s="84" t="str">
        <f t="shared" si="3"/>
        <v/>
      </c>
      <c r="H66" s="85" t="str">
        <f t="shared" si="4"/>
        <v/>
      </c>
      <c r="I66" s="67"/>
    </row>
    <row r="67" spans="1:9" ht="15.75" customHeight="1" x14ac:dyDescent="0.25">
      <c r="A67" s="71" t="str">
        <f>'Category Setup'!A189</f>
        <v/>
      </c>
      <c r="B67" s="81" t="str">
        <f>'Category Setup'!B189</f>
        <v/>
      </c>
      <c r="C67" s="67"/>
      <c r="D67" s="82" t="str">
        <f>IF($B67="","",SUMIFS(Income!$D:$D,Income!$E:$E,$B67,Income!$B:$B,"&gt;="&amp;$D$1,Income!$B:$B,"&lt;="&amp;$D$2))</f>
        <v/>
      </c>
      <c r="E67" s="83" t="str">
        <f>IF($B67="","",'Total &amp; Budget Targets'!$G62*$D$3)</f>
        <v/>
      </c>
      <c r="F67" s="67"/>
      <c r="G67" s="84" t="str">
        <f t="shared" si="3"/>
        <v/>
      </c>
      <c r="H67" s="85" t="str">
        <f t="shared" si="4"/>
        <v/>
      </c>
      <c r="I67" s="67"/>
    </row>
    <row r="68" spans="1:9" ht="15.75" customHeight="1" x14ac:dyDescent="0.25">
      <c r="A68" s="15"/>
      <c r="B68" s="98" t="s">
        <v>67</v>
      </c>
      <c r="C68" s="65"/>
      <c r="D68" s="99">
        <f t="shared" ref="D68:E68" si="5">SUM(D53:D67)</f>
        <v>300</v>
      </c>
      <c r="E68" s="99">
        <f t="shared" si="5"/>
        <v>0</v>
      </c>
      <c r="F68" s="93"/>
      <c r="G68" s="100">
        <f>SUM(G53:G67)</f>
        <v>300</v>
      </c>
      <c r="H68" s="101">
        <f t="shared" si="4"/>
        <v>0</v>
      </c>
      <c r="I68" s="67"/>
    </row>
    <row r="69" spans="1:9" ht="15.75" customHeight="1" x14ac:dyDescent="0.2">
      <c r="A69" s="15"/>
      <c r="B69" s="102"/>
      <c r="C69" s="67"/>
      <c r="D69" s="67"/>
      <c r="E69" s="67"/>
      <c r="F69" s="67"/>
      <c r="G69" s="67"/>
      <c r="H69" s="67"/>
      <c r="I69" s="67"/>
    </row>
    <row r="70" spans="1:9" ht="15.75" customHeight="1" x14ac:dyDescent="0.25">
      <c r="A70" s="15"/>
      <c r="B70" s="102"/>
      <c r="C70" s="67"/>
      <c r="D70" s="235" t="s">
        <v>68</v>
      </c>
      <c r="E70" s="232"/>
      <c r="F70" s="67"/>
      <c r="G70" s="235" t="s">
        <v>64</v>
      </c>
      <c r="H70" s="232"/>
      <c r="I70" s="67"/>
    </row>
    <row r="71" spans="1:9" ht="15.75" customHeight="1" x14ac:dyDescent="0.25">
      <c r="A71" s="15"/>
      <c r="B71" s="102"/>
      <c r="C71" s="67"/>
      <c r="D71" s="74" t="s">
        <v>69</v>
      </c>
      <c r="E71" s="75" t="s">
        <v>59</v>
      </c>
      <c r="F71" s="67"/>
      <c r="G71" s="74" t="s">
        <v>60</v>
      </c>
      <c r="H71" s="75" t="s">
        <v>61</v>
      </c>
      <c r="I71" s="67"/>
    </row>
    <row r="72" spans="1:9" ht="15.75" customHeight="1" x14ac:dyDescent="0.25">
      <c r="A72" s="15"/>
      <c r="B72" s="103" t="s">
        <v>67</v>
      </c>
      <c r="C72" s="67"/>
      <c r="D72" s="77">
        <f t="shared" ref="D72:E72" si="6">D68</f>
        <v>300</v>
      </c>
      <c r="E72" s="104">
        <f t="shared" si="6"/>
        <v>0</v>
      </c>
      <c r="F72" s="105"/>
      <c r="G72" s="79">
        <f t="shared" ref="G72:G74" si="7">D72-E72</f>
        <v>300</v>
      </c>
      <c r="H72" s="106">
        <f t="shared" ref="H72:H74" si="8">IF($B72="","",IFERROR(D72/E72,0))</f>
        <v>0</v>
      </c>
      <c r="I72" s="67"/>
    </row>
    <row r="73" spans="1:9" ht="15.75" customHeight="1" x14ac:dyDescent="0.25">
      <c r="A73" s="15"/>
      <c r="B73" s="107" t="s">
        <v>62</v>
      </c>
      <c r="C73" s="67"/>
      <c r="D73" s="108">
        <f t="shared" ref="D73:E73" si="9">D49</f>
        <v>38</v>
      </c>
      <c r="E73" s="109">
        <f t="shared" si="9"/>
        <v>0</v>
      </c>
      <c r="F73" s="105"/>
      <c r="G73" s="110">
        <f t="shared" si="7"/>
        <v>38</v>
      </c>
      <c r="H73" s="111">
        <f t="shared" si="8"/>
        <v>0</v>
      </c>
      <c r="I73" s="67"/>
    </row>
    <row r="74" spans="1:9" ht="15.75" customHeight="1" x14ac:dyDescent="0.25">
      <c r="A74" s="15"/>
      <c r="B74" s="112" t="s">
        <v>70</v>
      </c>
      <c r="C74" s="67"/>
      <c r="D74" s="113">
        <f t="shared" ref="D74:E74" si="10">D72-D73</f>
        <v>262</v>
      </c>
      <c r="E74" s="114">
        <f t="shared" si="10"/>
        <v>0</v>
      </c>
      <c r="F74" s="105"/>
      <c r="G74" s="115">
        <f t="shared" si="7"/>
        <v>262</v>
      </c>
      <c r="H74" s="116">
        <f t="shared" si="8"/>
        <v>0</v>
      </c>
      <c r="I74" s="67"/>
    </row>
    <row r="75" spans="1:9" ht="15.75" customHeight="1" x14ac:dyDescent="0.2">
      <c r="A75" s="15"/>
      <c r="B75" s="117" t="s">
        <v>71</v>
      </c>
      <c r="C75" s="68"/>
      <c r="D75" s="118">
        <f t="shared" ref="D75:E75" si="11">IFERROR(D74/D68,0)</f>
        <v>0.87333333333333329</v>
      </c>
      <c r="E75" s="118">
        <f t="shared" si="11"/>
        <v>0</v>
      </c>
      <c r="F75" s="118"/>
      <c r="G75" s="118"/>
      <c r="H75" s="118"/>
      <c r="I75" s="67"/>
    </row>
    <row r="76" spans="1:9" ht="15.75" customHeight="1" x14ac:dyDescent="0.2">
      <c r="A76" s="15"/>
      <c r="B76" s="102"/>
      <c r="C76" s="67"/>
      <c r="D76" s="67"/>
      <c r="E76" s="67"/>
      <c r="F76" s="67"/>
      <c r="G76" s="67"/>
      <c r="H76" s="67"/>
      <c r="I76" s="67"/>
    </row>
    <row r="77" spans="1:9" ht="15.75" customHeight="1" x14ac:dyDescent="0.2">
      <c r="A77" s="15"/>
      <c r="B77" s="102"/>
      <c r="C77" s="67"/>
      <c r="D77" s="67"/>
      <c r="E77" s="67"/>
      <c r="F77" s="67"/>
      <c r="G77" s="67"/>
      <c r="H77" s="67"/>
      <c r="I77" s="67"/>
    </row>
    <row r="78" spans="1:9" ht="15.75" customHeight="1" x14ac:dyDescent="0.2">
      <c r="A78" s="15"/>
      <c r="B78" s="102"/>
      <c r="C78" s="67"/>
      <c r="D78" s="67"/>
      <c r="E78" s="67"/>
      <c r="F78" s="67"/>
      <c r="G78" s="67"/>
      <c r="H78" s="67"/>
      <c r="I78" s="67"/>
    </row>
    <row r="79" spans="1:9" ht="15.75" customHeight="1" x14ac:dyDescent="0.2">
      <c r="A79" s="15"/>
      <c r="B79" s="102"/>
      <c r="C79" s="67"/>
      <c r="D79" s="67"/>
      <c r="E79" s="67"/>
      <c r="F79" s="67"/>
      <c r="G79" s="67"/>
      <c r="H79" s="67"/>
      <c r="I79" s="67"/>
    </row>
    <row r="80" spans="1:9" ht="15.75" customHeight="1" x14ac:dyDescent="0.2">
      <c r="A80" s="15"/>
      <c r="B80" s="102"/>
      <c r="C80" s="67"/>
      <c r="D80" s="67"/>
      <c r="E80" s="67"/>
      <c r="F80" s="67"/>
      <c r="G80" s="67"/>
      <c r="H80" s="67"/>
      <c r="I80" s="67"/>
    </row>
    <row r="81" spans="1:9" ht="15.75" customHeight="1" x14ac:dyDescent="0.2">
      <c r="A81" s="15"/>
      <c r="B81" s="102"/>
      <c r="C81" s="67"/>
      <c r="D81" s="67"/>
      <c r="E81" s="67"/>
      <c r="F81" s="67"/>
      <c r="G81" s="67"/>
      <c r="H81" s="67"/>
      <c r="I81" s="67"/>
    </row>
  </sheetData>
  <mergeCells count="6">
    <mergeCell ref="D7:E7"/>
    <mergeCell ref="G7:H7"/>
    <mergeCell ref="D51:E51"/>
    <mergeCell ref="G51:H51"/>
    <mergeCell ref="D70:E70"/>
    <mergeCell ref="G70:H70"/>
  </mergeCells>
  <conditionalFormatting sqref="B9:B48 D9:E48 G9:H48 B53:B67 D53:E67 G53:H67">
    <cfRule type="expression" dxfId="5" priority="1">
      <formula>$B9=""</formula>
    </cfRule>
  </conditionalFormatting>
  <conditionalFormatting sqref="D9:D48">
    <cfRule type="colorScale" priority="6">
      <colorScale>
        <cfvo type="formula" val="100"/>
        <cfvo type="percentile" val="30"/>
        <cfvo type="max"/>
        <color rgb="FF57BB8A"/>
        <color rgb="FFFFFFFF"/>
        <color rgb="FFE67C73"/>
      </colorScale>
    </cfRule>
  </conditionalFormatting>
  <conditionalFormatting sqref="G9:H49 G53:H59 G73:H73">
    <cfRule type="expression" dxfId="4" priority="2">
      <formula>$G9&gt;0</formula>
    </cfRule>
    <cfRule type="expression" dxfId="3" priority="3">
      <formula>$G9&lt;=0</formula>
    </cfRule>
  </conditionalFormatting>
  <conditionalFormatting sqref="G53:H68 G72:H72 G74:H74">
    <cfRule type="expression" dxfId="2" priority="4">
      <formula>$G53&gt;=0</formula>
    </cfRule>
    <cfRule type="expression" dxfId="1" priority="5">
      <formula>$G53&lt;0</formula>
    </cfRule>
  </conditionalFormatting>
  <dataValidations count="1">
    <dataValidation type="custom" allowBlank="1" showDropDown="1" showInputMessage="1" showErrorMessage="1" prompt="Enter a valid date in MM-DD-YYYY format" sqref="D1:D2" xr:uid="{00000000-0002-0000-0400-000000000000}">
      <formula1>OR(NOT(ISERROR(DATEVALUE(D1))), AND(ISNUMBER(D1), LEFT(CELL("format", D1))="D"))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</sheetPr>
  <dimension ref="A1:I94"/>
  <sheetViews>
    <sheetView showGridLines="0" workbookViewId="0"/>
  </sheetViews>
  <sheetFormatPr defaultColWidth="12.5703125" defaultRowHeight="15" customHeight="1" x14ac:dyDescent="0.2"/>
  <cols>
    <col min="1" max="1" width="3.28515625" customWidth="1"/>
    <col min="2" max="2" width="29.140625" customWidth="1"/>
    <col min="3" max="3" width="3.28515625" customWidth="1"/>
    <col min="4" max="5" width="22.5703125" customWidth="1"/>
    <col min="6" max="6" width="3.28515625" customWidth="1"/>
    <col min="7" max="8" width="22.5703125" customWidth="1"/>
    <col min="9" max="9" width="3.28515625" customWidth="1"/>
  </cols>
  <sheetData>
    <row r="1" spans="1:9" ht="15.75" customHeight="1" x14ac:dyDescent="0.2">
      <c r="A1" s="119"/>
      <c r="B1" s="119"/>
      <c r="C1" s="119"/>
      <c r="D1" s="119"/>
      <c r="E1" s="119"/>
      <c r="F1" s="119"/>
      <c r="G1" s="119"/>
      <c r="H1" s="119"/>
      <c r="I1" s="119"/>
    </row>
    <row r="2" spans="1:9" ht="12.75" x14ac:dyDescent="0.2">
      <c r="A2" s="120"/>
      <c r="B2" s="121"/>
      <c r="C2" s="119"/>
      <c r="D2" s="231" t="s">
        <v>72</v>
      </c>
      <c r="E2" s="232"/>
      <c r="F2" s="122"/>
      <c r="G2" s="231" t="s">
        <v>73</v>
      </c>
      <c r="H2" s="232"/>
      <c r="I2" s="119"/>
    </row>
    <row r="3" spans="1:9" ht="15.75" customHeight="1" x14ac:dyDescent="0.2">
      <c r="A3" s="120"/>
      <c r="B3" s="123" t="s">
        <v>57</v>
      </c>
      <c r="C3" s="119"/>
      <c r="D3" s="124" t="s">
        <v>74</v>
      </c>
      <c r="E3" s="125" t="str">
        <f>"Total ("&amp;'Date Info'!$C$26&amp;")"</f>
        <v>Total (1 month)</v>
      </c>
      <c r="F3" s="122"/>
      <c r="G3" s="126" t="s">
        <v>75</v>
      </c>
      <c r="H3" s="127" t="s">
        <v>76</v>
      </c>
      <c r="I3" s="119"/>
    </row>
    <row r="4" spans="1:9" ht="15.75" customHeight="1" x14ac:dyDescent="0.2">
      <c r="A4" s="120">
        <f>'Category Setup'!A129</f>
        <v>1</v>
      </c>
      <c r="B4" s="128" t="str">
        <f>'Category Setup'!B129</f>
        <v>Bills &amp; Utilities</v>
      </c>
      <c r="C4" s="119"/>
      <c r="D4" s="129">
        <f>IF($B4="","",E4/'Date Info'!$C$25)</f>
        <v>0</v>
      </c>
      <c r="E4" s="130">
        <f>IF($B4="","",SUMIFS(Expenses!$E:$E,Expenses!$F:$F,$B4))</f>
        <v>0</v>
      </c>
      <c r="F4" s="131"/>
      <c r="G4" s="132">
        <v>0</v>
      </c>
      <c r="H4" s="130">
        <f t="shared" ref="H4:H43" si="0">IF($B4="","",G4*12)</f>
        <v>0</v>
      </c>
      <c r="I4" s="119"/>
    </row>
    <row r="5" spans="1:9" ht="15.75" customHeight="1" x14ac:dyDescent="0.2">
      <c r="A5" s="120">
        <f>'Category Setup'!A130</f>
        <v>2</v>
      </c>
      <c r="B5" s="133" t="str">
        <f>'Category Setup'!B130</f>
        <v>Childcare &amp; Baby Needs</v>
      </c>
      <c r="C5" s="119"/>
      <c r="D5" s="129">
        <f>IF($B5="","",E5/'Date Info'!$C$25)</f>
        <v>0</v>
      </c>
      <c r="E5" s="130">
        <f>IF($B5="","",SUMIFS(Expenses!$E:$E,Expenses!$F:$F,$B5))</f>
        <v>0</v>
      </c>
      <c r="F5" s="131"/>
      <c r="G5" s="132">
        <v>0</v>
      </c>
      <c r="H5" s="130">
        <f t="shared" si="0"/>
        <v>0</v>
      </c>
      <c r="I5" s="119"/>
    </row>
    <row r="6" spans="1:9" ht="15.75" customHeight="1" x14ac:dyDescent="0.2">
      <c r="A6" s="120">
        <f>'Category Setup'!A131</f>
        <v>3</v>
      </c>
      <c r="B6" s="133" t="str">
        <f>'Category Setup'!B131</f>
        <v>Commute</v>
      </c>
      <c r="C6" s="119"/>
      <c r="D6" s="129">
        <f>IF($B6="","",E6/'Date Info'!$C$25)</f>
        <v>0</v>
      </c>
      <c r="E6" s="130">
        <f>IF($B6="","",SUMIFS(Expenses!$E:$E,Expenses!$F:$F,$B6))</f>
        <v>0</v>
      </c>
      <c r="F6" s="131"/>
      <c r="G6" s="132">
        <v>0</v>
      </c>
      <c r="H6" s="130">
        <f t="shared" si="0"/>
        <v>0</v>
      </c>
      <c r="I6" s="119"/>
    </row>
    <row r="7" spans="1:9" ht="15.75" customHeight="1" x14ac:dyDescent="0.2">
      <c r="A7" s="120">
        <f>'Category Setup'!A132</f>
        <v>4</v>
      </c>
      <c r="B7" s="133" t="str">
        <f>'Category Setup'!B132</f>
        <v>Education</v>
      </c>
      <c r="C7" s="119"/>
      <c r="D7" s="129">
        <f>IF($B7="","",E7/'Date Info'!$C$25)</f>
        <v>0</v>
      </c>
      <c r="E7" s="130">
        <f>IF($B7="","",SUMIFS(Expenses!$E:$E,Expenses!$F:$F,$B7))</f>
        <v>0</v>
      </c>
      <c r="F7" s="131"/>
      <c r="G7" s="132">
        <v>0</v>
      </c>
      <c r="H7" s="130">
        <f t="shared" si="0"/>
        <v>0</v>
      </c>
      <c r="I7" s="119"/>
    </row>
    <row r="8" spans="1:9" ht="15.75" customHeight="1" x14ac:dyDescent="0.2">
      <c r="A8" s="120">
        <f>'Category Setup'!A133</f>
        <v>5</v>
      </c>
      <c r="B8" s="133" t="str">
        <f>'Category Setup'!B133</f>
        <v>Electronics &amp; Gadgets</v>
      </c>
      <c r="C8" s="119"/>
      <c r="D8" s="129">
        <f>IF($B8="","",E8/'Date Info'!$C$25)</f>
        <v>0</v>
      </c>
      <c r="E8" s="130">
        <f>IF($B8="","",SUMIFS(Expenses!$E:$E,Expenses!$F:$F,$B8))</f>
        <v>0</v>
      </c>
      <c r="F8" s="131"/>
      <c r="G8" s="132">
        <v>0</v>
      </c>
      <c r="H8" s="130">
        <f t="shared" si="0"/>
        <v>0</v>
      </c>
      <c r="I8" s="119"/>
    </row>
    <row r="9" spans="1:9" ht="15.75" customHeight="1" x14ac:dyDescent="0.2">
      <c r="A9" s="120">
        <f>'Category Setup'!A134</f>
        <v>6</v>
      </c>
      <c r="B9" s="133" t="str">
        <f>'Category Setup'!B134</f>
        <v>Entertainment</v>
      </c>
      <c r="C9" s="119"/>
      <c r="D9" s="129">
        <f>IF($B9="","",E9/'Date Info'!$C$25)</f>
        <v>0</v>
      </c>
      <c r="E9" s="130">
        <f>IF($B9="","",SUMIFS(Expenses!$E:$E,Expenses!$F:$F,$B9))</f>
        <v>0</v>
      </c>
      <c r="F9" s="131"/>
      <c r="G9" s="132">
        <v>0</v>
      </c>
      <c r="H9" s="130">
        <f t="shared" si="0"/>
        <v>0</v>
      </c>
      <c r="I9" s="119"/>
    </row>
    <row r="10" spans="1:9" ht="15.75" customHeight="1" x14ac:dyDescent="0.2">
      <c r="A10" s="120">
        <f>'Category Setup'!A135</f>
        <v>7</v>
      </c>
      <c r="B10" s="133" t="str">
        <f>'Category Setup'!B135</f>
        <v>Familly</v>
      </c>
      <c r="C10" s="119"/>
      <c r="D10" s="129">
        <f>IF($B10="","",E10/'Date Info'!$C$25)</f>
        <v>0</v>
      </c>
      <c r="E10" s="130">
        <f>IF($B10="","",SUMIFS(Expenses!$E:$E,Expenses!$F:$F,$B10))</f>
        <v>0</v>
      </c>
      <c r="F10" s="131"/>
      <c r="G10" s="132">
        <v>0</v>
      </c>
      <c r="H10" s="130">
        <f t="shared" si="0"/>
        <v>0</v>
      </c>
      <c r="I10" s="119"/>
    </row>
    <row r="11" spans="1:9" ht="15.75" customHeight="1" x14ac:dyDescent="0.2">
      <c r="A11" s="120">
        <f>'Category Setup'!A136</f>
        <v>8</v>
      </c>
      <c r="B11" s="133" t="str">
        <f>'Category Setup'!B136</f>
        <v>Fitness</v>
      </c>
      <c r="C11" s="119"/>
      <c r="D11" s="129">
        <f>IF($B11="","",E11/'Date Info'!$C$25)</f>
        <v>0</v>
      </c>
      <c r="E11" s="130">
        <f>IF($B11="","",SUMIFS(Expenses!$E:$E,Expenses!$F:$F,$B11))</f>
        <v>0</v>
      </c>
      <c r="F11" s="131"/>
      <c r="G11" s="132">
        <v>0</v>
      </c>
      <c r="H11" s="130">
        <f t="shared" si="0"/>
        <v>0</v>
      </c>
      <c r="I11" s="119"/>
    </row>
    <row r="12" spans="1:9" ht="15.75" customHeight="1" x14ac:dyDescent="0.2">
      <c r="A12" s="120">
        <f>'Category Setup'!A137</f>
        <v>9</v>
      </c>
      <c r="B12" s="133" t="str">
        <f>'Category Setup'!B137</f>
        <v>Snacks &amp; Quick Bites</v>
      </c>
      <c r="C12" s="119"/>
      <c r="D12" s="129">
        <f>IF($B12="","",E12/'Date Info'!$C$25)</f>
        <v>0</v>
      </c>
      <c r="E12" s="130">
        <f>IF($B12="","",SUMIFS(Expenses!$E:$E,Expenses!$F:$F,$B12))</f>
        <v>0</v>
      </c>
      <c r="F12" s="131"/>
      <c r="G12" s="132">
        <v>0</v>
      </c>
      <c r="H12" s="130">
        <f t="shared" si="0"/>
        <v>0</v>
      </c>
      <c r="I12" s="119"/>
    </row>
    <row r="13" spans="1:9" ht="15.75" customHeight="1" x14ac:dyDescent="0.2">
      <c r="A13" s="120">
        <f>'Category Setup'!A138</f>
        <v>10</v>
      </c>
      <c r="B13" s="133" t="str">
        <f>'Category Setup'!B138</f>
        <v>Fuel</v>
      </c>
      <c r="C13" s="119"/>
      <c r="D13" s="129">
        <f>IF($B13="","",E13/'Date Info'!$C$25)</f>
        <v>5</v>
      </c>
      <c r="E13" s="130">
        <f>IF($B13="","",SUMIFS(Expenses!$E:$E,Expenses!$F:$F,$B13))</f>
        <v>5</v>
      </c>
      <c r="F13" s="131"/>
      <c r="G13" s="132">
        <v>0</v>
      </c>
      <c r="H13" s="130">
        <f t="shared" si="0"/>
        <v>0</v>
      </c>
      <c r="I13" s="119"/>
    </row>
    <row r="14" spans="1:9" ht="15.75" customHeight="1" x14ac:dyDescent="0.2">
      <c r="A14" s="120">
        <f>'Category Setup'!A139</f>
        <v>11</v>
      </c>
      <c r="B14" s="133" t="str">
        <f>'Category Setup'!B139</f>
        <v>Gifts</v>
      </c>
      <c r="C14" s="119"/>
      <c r="D14" s="129">
        <f>IF($B14="","",E14/'Date Info'!$C$25)</f>
        <v>0</v>
      </c>
      <c r="E14" s="130">
        <f>IF($B14="","",SUMIFS(Expenses!$E:$E,Expenses!$F:$F,$B14))</f>
        <v>0</v>
      </c>
      <c r="F14" s="131"/>
      <c r="G14" s="132">
        <v>0</v>
      </c>
      <c r="H14" s="130">
        <f t="shared" si="0"/>
        <v>0</v>
      </c>
      <c r="I14" s="119"/>
    </row>
    <row r="15" spans="1:9" ht="15.75" customHeight="1" x14ac:dyDescent="0.2">
      <c r="A15" s="120">
        <f>'Category Setup'!A140</f>
        <v>12</v>
      </c>
      <c r="B15" s="133" t="str">
        <f>'Category Setup'!B140</f>
        <v>Groceries</v>
      </c>
      <c r="C15" s="119"/>
      <c r="D15" s="129">
        <f>IF($B15="","",E15/'Date Info'!$C$25)</f>
        <v>0</v>
      </c>
      <c r="E15" s="130">
        <f>IF($B15="","",SUMIFS(Expenses!$E:$E,Expenses!$F:$F,$B15))</f>
        <v>0</v>
      </c>
      <c r="F15" s="131"/>
      <c r="G15" s="132">
        <v>0</v>
      </c>
      <c r="H15" s="130">
        <f t="shared" si="0"/>
        <v>0</v>
      </c>
      <c r="I15" s="119"/>
    </row>
    <row r="16" spans="1:9" ht="15.75" customHeight="1" x14ac:dyDescent="0.2">
      <c r="A16" s="120">
        <f>'Category Setup'!A141</f>
        <v>13</v>
      </c>
      <c r="B16" s="133" t="str">
        <f>'Category Setup'!B141</f>
        <v>HouseHold</v>
      </c>
      <c r="C16" s="119"/>
      <c r="D16" s="129">
        <f>IF($B16="","",E16/'Date Info'!$C$25)</f>
        <v>0</v>
      </c>
      <c r="E16" s="130">
        <f>IF($B16="","",SUMIFS(Expenses!$E:$E,Expenses!$F:$F,$B16))</f>
        <v>0</v>
      </c>
      <c r="F16" s="131"/>
      <c r="G16" s="132">
        <v>0</v>
      </c>
      <c r="H16" s="130">
        <f t="shared" si="0"/>
        <v>0</v>
      </c>
      <c r="I16" s="119"/>
    </row>
    <row r="17" spans="1:9" ht="15.75" customHeight="1" x14ac:dyDescent="0.2">
      <c r="A17" s="120">
        <f>'Category Setup'!A142</f>
        <v>14</v>
      </c>
      <c r="B17" s="133" t="str">
        <f>'Category Setup'!B142</f>
        <v>Insurance</v>
      </c>
      <c r="C17" s="119"/>
      <c r="D17" s="129">
        <f>IF($B17="","",E17/'Date Info'!$C$25)</f>
        <v>0</v>
      </c>
      <c r="E17" s="130">
        <f>IF($B17="","",SUMIFS(Expenses!$E:$E,Expenses!$F:$F,$B17))</f>
        <v>0</v>
      </c>
      <c r="F17" s="131"/>
      <c r="G17" s="132">
        <v>0</v>
      </c>
      <c r="H17" s="130">
        <f t="shared" si="0"/>
        <v>0</v>
      </c>
      <c r="I17" s="119"/>
    </row>
    <row r="18" spans="1:9" ht="15.75" customHeight="1" x14ac:dyDescent="0.2">
      <c r="A18" s="120">
        <f>'Category Setup'!A143</f>
        <v>15</v>
      </c>
      <c r="B18" s="133" t="str">
        <f>'Category Setup'!B143</f>
        <v>Investments</v>
      </c>
      <c r="C18" s="119"/>
      <c r="D18" s="129">
        <f>IF($B18="","",E18/'Date Info'!$C$25)</f>
        <v>0</v>
      </c>
      <c r="E18" s="130">
        <f>IF($B18="","",SUMIFS(Expenses!$E:$E,Expenses!$F:$F,$B18))</f>
        <v>0</v>
      </c>
      <c r="F18" s="131"/>
      <c r="G18" s="132">
        <v>0</v>
      </c>
      <c r="H18" s="130">
        <f t="shared" si="0"/>
        <v>0</v>
      </c>
      <c r="I18" s="119"/>
    </row>
    <row r="19" spans="1:9" ht="15.75" customHeight="1" x14ac:dyDescent="0.2">
      <c r="A19" s="120">
        <f>'Category Setup'!A144</f>
        <v>16</v>
      </c>
      <c r="B19" s="133" t="str">
        <f>'Category Setup'!B144</f>
        <v>Loans Given &amp; Taken</v>
      </c>
      <c r="C19" s="119"/>
      <c r="D19" s="129">
        <f>IF($B19="","",E19/'Date Info'!$C$25)</f>
        <v>0</v>
      </c>
      <c r="E19" s="130">
        <f>IF($B19="","",SUMIFS(Expenses!$E:$E,Expenses!$F:$F,$B19))</f>
        <v>0</v>
      </c>
      <c r="F19" s="131"/>
      <c r="G19" s="132">
        <v>0</v>
      </c>
      <c r="H19" s="130">
        <f t="shared" si="0"/>
        <v>0</v>
      </c>
      <c r="I19" s="119"/>
    </row>
    <row r="20" spans="1:9" ht="15.75" customHeight="1" x14ac:dyDescent="0.2">
      <c r="A20" s="120">
        <f>'Category Setup'!A145</f>
        <v>17</v>
      </c>
      <c r="B20" s="133" t="str">
        <f>'Category Setup'!B145</f>
        <v>Medical</v>
      </c>
      <c r="C20" s="119"/>
      <c r="D20" s="129">
        <f>IF($B20="","",E20/'Date Info'!$C$25)</f>
        <v>0</v>
      </c>
      <c r="E20" s="130">
        <f>IF($B20="","",SUMIFS(Expenses!$E:$E,Expenses!$F:$F,$B20))</f>
        <v>0</v>
      </c>
      <c r="F20" s="131"/>
      <c r="G20" s="132">
        <v>0</v>
      </c>
      <c r="H20" s="130">
        <f t="shared" si="0"/>
        <v>0</v>
      </c>
      <c r="I20" s="119"/>
    </row>
    <row r="21" spans="1:9" ht="15.75" customHeight="1" x14ac:dyDescent="0.2">
      <c r="A21" s="120">
        <f>'Category Setup'!A146</f>
        <v>18</v>
      </c>
      <c r="B21" s="133" t="str">
        <f>'Category Setup'!B146</f>
        <v>Personal Care</v>
      </c>
      <c r="C21" s="119"/>
      <c r="D21" s="129">
        <f>IF($B21="","",E21/'Date Info'!$C$25)</f>
        <v>0</v>
      </c>
      <c r="E21" s="130">
        <f>IF($B21="","",SUMIFS(Expenses!$E:$E,Expenses!$F:$F,$B21))</f>
        <v>0</v>
      </c>
      <c r="F21" s="131"/>
      <c r="G21" s="132">
        <v>0</v>
      </c>
      <c r="H21" s="130">
        <f t="shared" si="0"/>
        <v>0</v>
      </c>
      <c r="I21" s="119"/>
    </row>
    <row r="22" spans="1:9" ht="15.75" customHeight="1" x14ac:dyDescent="0.2">
      <c r="A22" s="120">
        <f>'Category Setup'!A147</f>
        <v>19</v>
      </c>
      <c r="B22" s="133" t="str">
        <f>'Category Setup'!B147</f>
        <v>Rent</v>
      </c>
      <c r="C22" s="119"/>
      <c r="D22" s="129">
        <f>IF($B22="","",E22/'Date Info'!$C$25)</f>
        <v>0</v>
      </c>
      <c r="E22" s="130">
        <f>IF($B22="","",SUMIFS(Expenses!$E:$E,Expenses!$F:$F,$B22))</f>
        <v>0</v>
      </c>
      <c r="F22" s="131"/>
      <c r="G22" s="132">
        <v>0</v>
      </c>
      <c r="H22" s="130">
        <f t="shared" si="0"/>
        <v>0</v>
      </c>
      <c r="I22" s="119"/>
    </row>
    <row r="23" spans="1:9" ht="15.75" customHeight="1" x14ac:dyDescent="0.2">
      <c r="A23" s="120">
        <f>'Category Setup'!A148</f>
        <v>20</v>
      </c>
      <c r="B23" s="133" t="str">
        <f>'Category Setup'!B148</f>
        <v>Repair &amp; Maintenance</v>
      </c>
      <c r="C23" s="119"/>
      <c r="D23" s="129">
        <f>IF($B23="","",E23/'Date Info'!$C$25)</f>
        <v>0</v>
      </c>
      <c r="E23" s="130">
        <f>IF($B23="","",SUMIFS(Expenses!$E:$E,Expenses!$F:$F,$B23))</f>
        <v>0</v>
      </c>
      <c r="F23" s="131"/>
      <c r="G23" s="132">
        <v>0</v>
      </c>
      <c r="H23" s="130">
        <f t="shared" si="0"/>
        <v>0</v>
      </c>
      <c r="I23" s="119"/>
    </row>
    <row r="24" spans="1:9" ht="15.75" customHeight="1" x14ac:dyDescent="0.2">
      <c r="A24" s="120">
        <f>'Category Setup'!A149</f>
        <v>21</v>
      </c>
      <c r="B24" s="133" t="str">
        <f>'Category Setup'!B149</f>
        <v>Restaurant &amp; Dining Out</v>
      </c>
      <c r="C24" s="119"/>
      <c r="D24" s="129">
        <f>IF($B24="","",E24/'Date Info'!$C$25)</f>
        <v>33</v>
      </c>
      <c r="E24" s="130">
        <f>IF($B24="","",SUMIFS(Expenses!$E:$E,Expenses!$F:$F,$B24))</f>
        <v>33</v>
      </c>
      <c r="F24" s="131"/>
      <c r="G24" s="132">
        <v>0</v>
      </c>
      <c r="H24" s="130">
        <f t="shared" si="0"/>
        <v>0</v>
      </c>
      <c r="I24" s="119"/>
    </row>
    <row r="25" spans="1:9" ht="15.75" customHeight="1" x14ac:dyDescent="0.2">
      <c r="A25" s="120">
        <f>'Category Setup'!A150</f>
        <v>22</v>
      </c>
      <c r="B25" s="133" t="str">
        <f>'Category Setup'!B150</f>
        <v>Self Transfers</v>
      </c>
      <c r="C25" s="119"/>
      <c r="D25" s="129">
        <f>IF($B25="","",E25/'Date Info'!$C$25)</f>
        <v>0</v>
      </c>
      <c r="E25" s="130">
        <f>IF($B25="","",SUMIFS(Expenses!$E:$E,Expenses!$F:$F,$B25))</f>
        <v>0</v>
      </c>
      <c r="F25" s="131"/>
      <c r="G25" s="132">
        <v>0</v>
      </c>
      <c r="H25" s="130">
        <f t="shared" si="0"/>
        <v>0</v>
      </c>
      <c r="I25" s="119"/>
    </row>
    <row r="26" spans="1:9" ht="15.75" customHeight="1" x14ac:dyDescent="0.2">
      <c r="A26" s="120">
        <f>'Category Setup'!A151</f>
        <v>23</v>
      </c>
      <c r="B26" s="133" t="str">
        <f>'Category Setup'!B151</f>
        <v>Shopping</v>
      </c>
      <c r="C26" s="119"/>
      <c r="D26" s="129">
        <f>IF($B26="","",E26/'Date Info'!$C$25)</f>
        <v>0</v>
      </c>
      <c r="E26" s="130">
        <f>IF($B26="","",SUMIFS(Expenses!$E:$E,Expenses!$F:$F,$B26))</f>
        <v>0</v>
      </c>
      <c r="F26" s="131"/>
      <c r="G26" s="132">
        <v>0</v>
      </c>
      <c r="H26" s="130">
        <f t="shared" si="0"/>
        <v>0</v>
      </c>
      <c r="I26" s="119"/>
    </row>
    <row r="27" spans="1:9" ht="15.75" customHeight="1" x14ac:dyDescent="0.2">
      <c r="A27" s="120">
        <f>'Category Setup'!A152</f>
        <v>24</v>
      </c>
      <c r="B27" s="133" t="str">
        <f>'Category Setup'!B152</f>
        <v>Subscriptions &amp; Memberships</v>
      </c>
      <c r="C27" s="119"/>
      <c r="D27" s="129">
        <f>IF($B27="","",E27/'Date Info'!$C$25)</f>
        <v>0</v>
      </c>
      <c r="E27" s="130">
        <f>IF($B27="","",SUMIFS(Expenses!$E:$E,Expenses!$F:$F,$B27))</f>
        <v>0</v>
      </c>
      <c r="F27" s="131"/>
      <c r="G27" s="132">
        <v>0</v>
      </c>
      <c r="H27" s="130">
        <f t="shared" si="0"/>
        <v>0</v>
      </c>
      <c r="I27" s="119"/>
    </row>
    <row r="28" spans="1:9" ht="15.75" customHeight="1" x14ac:dyDescent="0.2">
      <c r="A28" s="120">
        <f>'Category Setup'!A153</f>
        <v>25</v>
      </c>
      <c r="B28" s="133" t="str">
        <f>'Category Setup'!B153</f>
        <v>Travel</v>
      </c>
      <c r="C28" s="119"/>
      <c r="D28" s="129">
        <f>IF($B28="","",E28/'Date Info'!$C$25)</f>
        <v>0</v>
      </c>
      <c r="E28" s="130">
        <f>IF($B28="","",SUMIFS(Expenses!$E:$E,Expenses!$F:$F,$B28))</f>
        <v>0</v>
      </c>
      <c r="F28" s="131"/>
      <c r="G28" s="132">
        <v>0</v>
      </c>
      <c r="H28" s="130">
        <f t="shared" si="0"/>
        <v>0</v>
      </c>
      <c r="I28" s="119"/>
    </row>
    <row r="29" spans="1:9" ht="15.75" customHeight="1" x14ac:dyDescent="0.2">
      <c r="A29" s="120">
        <f>'Category Setup'!A154</f>
        <v>26</v>
      </c>
      <c r="B29" s="133" t="str">
        <f>'Category Setup'!B154</f>
        <v>Fines &amp; Penalties</v>
      </c>
      <c r="C29" s="119"/>
      <c r="D29" s="129">
        <f>IF($B29="","",E29/'Date Info'!$C$25)</f>
        <v>0</v>
      </c>
      <c r="E29" s="130">
        <f>IF($B29="","",SUMIFS(Expenses!$E:$E,Expenses!$F:$F,$B29))</f>
        <v>0</v>
      </c>
      <c r="F29" s="131"/>
      <c r="G29" s="132">
        <v>0</v>
      </c>
      <c r="H29" s="130">
        <f t="shared" si="0"/>
        <v>0</v>
      </c>
      <c r="I29" s="119"/>
    </row>
    <row r="30" spans="1:9" ht="15.75" customHeight="1" x14ac:dyDescent="0.2">
      <c r="A30" s="120">
        <f>'Category Setup'!A155</f>
        <v>27</v>
      </c>
      <c r="B30" s="133" t="str">
        <f>'Category Setup'!B155</f>
        <v>Other</v>
      </c>
      <c r="C30" s="119"/>
      <c r="D30" s="134">
        <f>IF($B30="","",E30/'Date Info'!$C$25)</f>
        <v>0</v>
      </c>
      <c r="E30" s="135">
        <f>IF($B30="","",SUMIFS(Expenses!$E:$E,Expenses!$F:$F,$B30))</f>
        <v>0</v>
      </c>
      <c r="F30" s="131"/>
      <c r="G30" s="132">
        <v>0</v>
      </c>
      <c r="H30" s="130">
        <f t="shared" si="0"/>
        <v>0</v>
      </c>
      <c r="I30" s="119"/>
    </row>
    <row r="31" spans="1:9" ht="15.75" customHeight="1" x14ac:dyDescent="0.2">
      <c r="A31" s="120" t="str">
        <f>'Category Setup'!A156</f>
        <v/>
      </c>
      <c r="B31" s="133" t="str">
        <f>'Category Setup'!B156</f>
        <v/>
      </c>
      <c r="C31" s="119"/>
      <c r="D31" s="134" t="str">
        <f>IF($B31="","",E31/'Date Info'!$C$25)</f>
        <v/>
      </c>
      <c r="E31" s="135" t="str">
        <f>IF($B31="","",SUMIFS(Expenses!$E:$E,Expenses!$F:$F,$B31))</f>
        <v/>
      </c>
      <c r="F31" s="131"/>
      <c r="G31" s="136"/>
      <c r="H31" s="135" t="str">
        <f t="shared" si="0"/>
        <v/>
      </c>
      <c r="I31" s="119"/>
    </row>
    <row r="32" spans="1:9" ht="15.75" customHeight="1" x14ac:dyDescent="0.2">
      <c r="A32" s="120" t="str">
        <f>'Category Setup'!A157</f>
        <v/>
      </c>
      <c r="B32" s="133" t="str">
        <f>'Category Setup'!B157</f>
        <v/>
      </c>
      <c r="C32" s="119"/>
      <c r="D32" s="134" t="str">
        <f>IF($B32="","",E32/'Date Info'!$C$25)</f>
        <v/>
      </c>
      <c r="E32" s="135" t="str">
        <f>IF($B32="","",SUMIFS(Expenses!$E:$E,Expenses!$F:$F,$B32))</f>
        <v/>
      </c>
      <c r="F32" s="131"/>
      <c r="G32" s="136"/>
      <c r="H32" s="135" t="str">
        <f t="shared" si="0"/>
        <v/>
      </c>
      <c r="I32" s="119"/>
    </row>
    <row r="33" spans="1:9" ht="15.75" customHeight="1" x14ac:dyDescent="0.2">
      <c r="A33" s="120" t="str">
        <f>'Category Setup'!A158</f>
        <v/>
      </c>
      <c r="B33" s="133" t="str">
        <f>'Category Setup'!B158</f>
        <v/>
      </c>
      <c r="C33" s="119"/>
      <c r="D33" s="134" t="str">
        <f>IF($B33="","",E33/'Date Info'!$C$25)</f>
        <v/>
      </c>
      <c r="E33" s="135" t="str">
        <f>IF($B33="","",SUMIFS(Expenses!$E:$E,Expenses!$F:$F,$B33))</f>
        <v/>
      </c>
      <c r="F33" s="131"/>
      <c r="G33" s="136"/>
      <c r="H33" s="135" t="str">
        <f t="shared" si="0"/>
        <v/>
      </c>
      <c r="I33" s="119"/>
    </row>
    <row r="34" spans="1:9" ht="15.75" customHeight="1" x14ac:dyDescent="0.2">
      <c r="A34" s="120" t="str">
        <f>'Category Setup'!A159</f>
        <v/>
      </c>
      <c r="B34" s="133" t="str">
        <f>'Category Setup'!B159</f>
        <v/>
      </c>
      <c r="C34" s="119"/>
      <c r="D34" s="134" t="str">
        <f>IF($B34="","",E34/'Date Info'!$C$25)</f>
        <v/>
      </c>
      <c r="E34" s="135" t="str">
        <f>IF($B34="","",SUMIFS(Expenses!$E:$E,Expenses!$F:$F,$B34))</f>
        <v/>
      </c>
      <c r="F34" s="131"/>
      <c r="G34" s="136"/>
      <c r="H34" s="135" t="str">
        <f t="shared" si="0"/>
        <v/>
      </c>
      <c r="I34" s="119"/>
    </row>
    <row r="35" spans="1:9" ht="15.75" customHeight="1" x14ac:dyDescent="0.2">
      <c r="A35" s="120" t="str">
        <f>'Category Setup'!A160</f>
        <v/>
      </c>
      <c r="B35" s="133" t="str">
        <f>'Category Setup'!B160</f>
        <v/>
      </c>
      <c r="C35" s="119"/>
      <c r="D35" s="134" t="str">
        <f>IF($B35="","",E35/'Date Info'!$C$25)</f>
        <v/>
      </c>
      <c r="E35" s="135" t="str">
        <f>IF($B35="","",SUMIFS(Expenses!$E:$E,Expenses!$F:$F,$B35))</f>
        <v/>
      </c>
      <c r="F35" s="131"/>
      <c r="G35" s="136"/>
      <c r="H35" s="135" t="str">
        <f t="shared" si="0"/>
        <v/>
      </c>
      <c r="I35" s="119"/>
    </row>
    <row r="36" spans="1:9" ht="15.75" customHeight="1" x14ac:dyDescent="0.2">
      <c r="A36" s="120" t="str">
        <f>'Category Setup'!A161</f>
        <v/>
      </c>
      <c r="B36" s="133" t="str">
        <f>'Category Setup'!B161</f>
        <v/>
      </c>
      <c r="C36" s="119"/>
      <c r="D36" s="134" t="str">
        <f>IF($B36="","",E36/'Date Info'!$C$25)</f>
        <v/>
      </c>
      <c r="E36" s="135" t="str">
        <f>IF($B36="","",SUMIFS(Expenses!$E:$E,Expenses!$F:$F,$B36))</f>
        <v/>
      </c>
      <c r="F36" s="131"/>
      <c r="G36" s="136"/>
      <c r="H36" s="135" t="str">
        <f t="shared" si="0"/>
        <v/>
      </c>
      <c r="I36" s="119"/>
    </row>
    <row r="37" spans="1:9" ht="15.75" customHeight="1" x14ac:dyDescent="0.2">
      <c r="A37" s="120" t="str">
        <f>'Category Setup'!A162</f>
        <v/>
      </c>
      <c r="B37" s="133" t="str">
        <f>'Category Setup'!B162</f>
        <v/>
      </c>
      <c r="C37" s="119"/>
      <c r="D37" s="134" t="str">
        <f>IF($B37="","",E37/'Date Info'!$C$25)</f>
        <v/>
      </c>
      <c r="E37" s="135" t="str">
        <f>IF($B37="","",SUMIFS(Expenses!$E:$E,Expenses!$F:$F,$B37))</f>
        <v/>
      </c>
      <c r="F37" s="131"/>
      <c r="G37" s="136"/>
      <c r="H37" s="135" t="str">
        <f t="shared" si="0"/>
        <v/>
      </c>
      <c r="I37" s="119"/>
    </row>
    <row r="38" spans="1:9" ht="15.75" customHeight="1" x14ac:dyDescent="0.2">
      <c r="A38" s="120" t="str">
        <f>'Category Setup'!A163</f>
        <v/>
      </c>
      <c r="B38" s="133" t="str">
        <f>'Category Setup'!B163</f>
        <v/>
      </c>
      <c r="C38" s="119"/>
      <c r="D38" s="134" t="str">
        <f>IF($B38="","",E38/'Date Info'!$C$25)</f>
        <v/>
      </c>
      <c r="E38" s="135" t="str">
        <f>IF($B38="","",SUMIFS(Expenses!$E:$E,Expenses!$F:$F,$B38))</f>
        <v/>
      </c>
      <c r="F38" s="131"/>
      <c r="G38" s="136"/>
      <c r="H38" s="135" t="str">
        <f t="shared" si="0"/>
        <v/>
      </c>
      <c r="I38" s="119"/>
    </row>
    <row r="39" spans="1:9" ht="15.75" customHeight="1" x14ac:dyDescent="0.2">
      <c r="A39" s="120" t="str">
        <f>'Category Setup'!A164</f>
        <v/>
      </c>
      <c r="B39" s="133" t="str">
        <f>'Category Setup'!B164</f>
        <v/>
      </c>
      <c r="C39" s="119"/>
      <c r="D39" s="134" t="str">
        <f>IF($B39="","",E39/'Date Info'!$C$25)</f>
        <v/>
      </c>
      <c r="E39" s="135" t="str">
        <f>IF($B39="","",SUMIFS(Expenses!$E:$E,Expenses!$F:$F,$B39))</f>
        <v/>
      </c>
      <c r="F39" s="131"/>
      <c r="G39" s="136"/>
      <c r="H39" s="135" t="str">
        <f t="shared" si="0"/>
        <v/>
      </c>
      <c r="I39" s="119"/>
    </row>
    <row r="40" spans="1:9" ht="15.75" customHeight="1" x14ac:dyDescent="0.2">
      <c r="A40" s="120" t="str">
        <f>'Category Setup'!A165</f>
        <v/>
      </c>
      <c r="B40" s="133" t="str">
        <f>'Category Setup'!B165</f>
        <v/>
      </c>
      <c r="C40" s="119"/>
      <c r="D40" s="134" t="str">
        <f>IF($B40="","",E40/'Date Info'!$C$25)</f>
        <v/>
      </c>
      <c r="E40" s="135" t="str">
        <f>IF($B40="","",SUMIFS(Expenses!$E:$E,Expenses!$F:$F,$B40))</f>
        <v/>
      </c>
      <c r="F40" s="131"/>
      <c r="G40" s="136"/>
      <c r="H40" s="135" t="str">
        <f t="shared" si="0"/>
        <v/>
      </c>
      <c r="I40" s="119"/>
    </row>
    <row r="41" spans="1:9" ht="15.75" customHeight="1" x14ac:dyDescent="0.2">
      <c r="A41" s="120" t="str">
        <f>'Category Setup'!A166</f>
        <v/>
      </c>
      <c r="B41" s="133" t="str">
        <f>'Category Setup'!B166</f>
        <v/>
      </c>
      <c r="C41" s="119"/>
      <c r="D41" s="134" t="str">
        <f>IF($B41="","",E41/'Date Info'!$C$25)</f>
        <v/>
      </c>
      <c r="E41" s="135" t="str">
        <f>IF($B41="","",SUMIFS(Expenses!$E:$E,Expenses!$F:$F,$B41))</f>
        <v/>
      </c>
      <c r="F41" s="131"/>
      <c r="G41" s="136"/>
      <c r="H41" s="135" t="str">
        <f t="shared" si="0"/>
        <v/>
      </c>
      <c r="I41" s="119"/>
    </row>
    <row r="42" spans="1:9" ht="15.75" customHeight="1" x14ac:dyDescent="0.2">
      <c r="A42" s="120" t="str">
        <f>'Category Setup'!A167</f>
        <v/>
      </c>
      <c r="B42" s="133" t="str">
        <f>'Category Setup'!B167</f>
        <v/>
      </c>
      <c r="C42" s="119"/>
      <c r="D42" s="134" t="str">
        <f>IF($B42="","",E42/'Date Info'!$C$25)</f>
        <v/>
      </c>
      <c r="E42" s="135" t="str">
        <f>IF($B42="","",SUMIFS(Expenses!$E:$E,Expenses!$F:$F,$B42))</f>
        <v/>
      </c>
      <c r="F42" s="131"/>
      <c r="G42" s="136"/>
      <c r="H42" s="135" t="str">
        <f t="shared" si="0"/>
        <v/>
      </c>
      <c r="I42" s="119"/>
    </row>
    <row r="43" spans="1:9" ht="15.75" customHeight="1" x14ac:dyDescent="0.2">
      <c r="A43" s="120" t="str">
        <f>'Category Setup'!A168</f>
        <v/>
      </c>
      <c r="B43" s="137" t="str">
        <f>'Category Setup'!B168</f>
        <v/>
      </c>
      <c r="C43" s="119"/>
      <c r="D43" s="138" t="str">
        <f>IF($B43="","",E43/'Date Info'!$C$25)</f>
        <v/>
      </c>
      <c r="E43" s="139" t="str">
        <f>IF($B43="","",SUMIFS(Expenses!$E:$E,Expenses!$F:$F,$B43))</f>
        <v/>
      </c>
      <c r="F43" s="131"/>
      <c r="G43" s="140"/>
      <c r="H43" s="139" t="str">
        <f t="shared" si="0"/>
        <v/>
      </c>
      <c r="I43" s="119"/>
    </row>
    <row r="44" spans="1:9" ht="15.75" customHeight="1" x14ac:dyDescent="0.2">
      <c r="A44" s="120"/>
      <c r="B44" s="123" t="s">
        <v>62</v>
      </c>
      <c r="C44" s="141"/>
      <c r="D44" s="142">
        <f t="shared" ref="D44:E44" si="1">SUMIFS(D$4:D$43,$A$4:$A$43,"&gt;0")</f>
        <v>38</v>
      </c>
      <c r="E44" s="142">
        <f t="shared" si="1"/>
        <v>38</v>
      </c>
      <c r="F44" s="143"/>
      <c r="G44" s="142">
        <f t="shared" ref="G44:H44" si="2">SUMIFS(G$4:G$43,$A$4:$A$43,"&gt;0")</f>
        <v>0</v>
      </c>
      <c r="H44" s="142">
        <f t="shared" si="2"/>
        <v>0</v>
      </c>
      <c r="I44" s="119"/>
    </row>
    <row r="45" spans="1:9" ht="15.75" customHeight="1" x14ac:dyDescent="0.2">
      <c r="A45" s="120"/>
      <c r="B45" s="144"/>
      <c r="C45" s="119"/>
      <c r="D45" s="119"/>
      <c r="E45" s="119"/>
      <c r="F45" s="119"/>
      <c r="G45" s="119"/>
      <c r="H45" s="119"/>
      <c r="I45" s="119"/>
    </row>
    <row r="46" spans="1:9" ht="15.75" customHeight="1" x14ac:dyDescent="0.2">
      <c r="A46" s="120"/>
      <c r="B46" s="144"/>
      <c r="C46" s="119"/>
      <c r="D46" s="231" t="s">
        <v>77</v>
      </c>
      <c r="E46" s="232"/>
      <c r="F46" s="122"/>
      <c r="G46" s="231" t="s">
        <v>78</v>
      </c>
      <c r="H46" s="232"/>
      <c r="I46" s="119"/>
    </row>
    <row r="47" spans="1:9" ht="15.75" customHeight="1" x14ac:dyDescent="0.2">
      <c r="A47" s="120"/>
      <c r="B47" s="145" t="s">
        <v>65</v>
      </c>
      <c r="C47" s="119"/>
      <c r="D47" s="124" t="s">
        <v>74</v>
      </c>
      <c r="E47" s="125" t="str">
        <f>"Total ("&amp;'Date Info'!$C$26&amp;")"</f>
        <v>Total (1 month)</v>
      </c>
      <c r="F47" s="122"/>
      <c r="G47" s="126" t="s">
        <v>79</v>
      </c>
      <c r="H47" s="127" t="s">
        <v>80</v>
      </c>
      <c r="I47" s="119"/>
    </row>
    <row r="48" spans="1:9" ht="15.75" customHeight="1" x14ac:dyDescent="0.2">
      <c r="A48" s="120">
        <f>'Category Setup'!A175</f>
        <v>1</v>
      </c>
      <c r="B48" s="128" t="str">
        <f>'Category Setup'!B175</f>
        <v>Expense Money</v>
      </c>
      <c r="C48" s="119"/>
      <c r="D48" s="129">
        <f>IF($B48="","",E48/'Date Info'!$C$25)</f>
        <v>0</v>
      </c>
      <c r="E48" s="130">
        <f>IF($B48="","",SUMIFS(Income!$D:$D,Income!$E:$E,$B48))</f>
        <v>0</v>
      </c>
      <c r="F48" s="131"/>
      <c r="G48" s="132">
        <v>0</v>
      </c>
      <c r="H48" s="130">
        <f t="shared" ref="H48:H62" si="3">IF($B48="","",G48*12)</f>
        <v>0</v>
      </c>
      <c r="I48" s="119"/>
    </row>
    <row r="49" spans="1:9" ht="15.75" customHeight="1" x14ac:dyDescent="0.2">
      <c r="A49" s="120">
        <f>'Category Setup'!A176</f>
        <v>2</v>
      </c>
      <c r="B49" s="133" t="str">
        <f>'Category Setup'!B176</f>
        <v>Job / Salary</v>
      </c>
      <c r="C49" s="119"/>
      <c r="D49" s="129">
        <f>IF($B49="","",E49/'Date Info'!$C$25)</f>
        <v>300</v>
      </c>
      <c r="E49" s="130">
        <f>IF($B49="","",SUMIFS(Income!$D:$D,Income!$E:$E,$B49))</f>
        <v>300</v>
      </c>
      <c r="F49" s="131"/>
      <c r="G49" s="132">
        <v>0</v>
      </c>
      <c r="H49" s="130">
        <f t="shared" si="3"/>
        <v>0</v>
      </c>
      <c r="I49" s="119"/>
    </row>
    <row r="50" spans="1:9" ht="15.75" customHeight="1" x14ac:dyDescent="0.2">
      <c r="A50" s="120">
        <f>'Category Setup'!A177</f>
        <v>3</v>
      </c>
      <c r="B50" s="133" t="str">
        <f>'Category Setup'!B177</f>
        <v>Side Income</v>
      </c>
      <c r="C50" s="119"/>
      <c r="D50" s="129">
        <f>IF($B50="","",E50/'Date Info'!$C$25)</f>
        <v>0</v>
      </c>
      <c r="E50" s="130">
        <f>IF($B50="","",SUMIFS(Income!$D:$D,Income!$E:$E,$B50))</f>
        <v>0</v>
      </c>
      <c r="F50" s="131"/>
      <c r="G50" s="132">
        <v>0</v>
      </c>
      <c r="H50" s="130">
        <f t="shared" si="3"/>
        <v>0</v>
      </c>
      <c r="I50" s="119"/>
    </row>
    <row r="51" spans="1:9" ht="15.75" customHeight="1" x14ac:dyDescent="0.2">
      <c r="A51" s="120" t="str">
        <f>'Category Setup'!A178</f>
        <v/>
      </c>
      <c r="B51" s="133" t="str">
        <f>'Category Setup'!B178</f>
        <v/>
      </c>
      <c r="C51" s="119"/>
      <c r="D51" s="129" t="str">
        <f>IF($B51="","",E51/'Date Info'!$C$25)</f>
        <v/>
      </c>
      <c r="E51" s="130" t="str">
        <f>IF($B51="","",SUMIFS(Income!$D:$D,Income!$E:$E,$B51))</f>
        <v/>
      </c>
      <c r="F51" s="131"/>
      <c r="G51" s="132">
        <v>25000</v>
      </c>
      <c r="H51" s="130" t="str">
        <f t="shared" si="3"/>
        <v/>
      </c>
      <c r="I51" s="119"/>
    </row>
    <row r="52" spans="1:9" ht="15.75" customHeight="1" x14ac:dyDescent="0.2">
      <c r="A52" s="120" t="str">
        <f>'Category Setup'!A179</f>
        <v/>
      </c>
      <c r="B52" s="133" t="str">
        <f>'Category Setup'!B179</f>
        <v/>
      </c>
      <c r="C52" s="119"/>
      <c r="D52" s="129" t="str">
        <f>IF($B52="","",E52/'Date Info'!$C$25)</f>
        <v/>
      </c>
      <c r="E52" s="130" t="str">
        <f>IF($B52="","",SUMIFS(Income!$D:$D,Income!$E:$E,$B52))</f>
        <v/>
      </c>
      <c r="F52" s="131"/>
      <c r="G52" s="132">
        <v>0</v>
      </c>
      <c r="H52" s="130" t="str">
        <f t="shared" si="3"/>
        <v/>
      </c>
      <c r="I52" s="119"/>
    </row>
    <row r="53" spans="1:9" ht="15.75" customHeight="1" x14ac:dyDescent="0.2">
      <c r="A53" s="120" t="str">
        <f>'Category Setup'!A180</f>
        <v/>
      </c>
      <c r="B53" s="133" t="str">
        <f>'Category Setup'!B180</f>
        <v/>
      </c>
      <c r="C53" s="119"/>
      <c r="D53" s="129" t="str">
        <f>IF($B53="","",E53/'Date Info'!$C$25)</f>
        <v/>
      </c>
      <c r="E53" s="130" t="str">
        <f>IF($B53="","",SUMIFS(Income!$D:$D,Income!$E:$E,$B53))</f>
        <v/>
      </c>
      <c r="F53" s="131"/>
      <c r="G53" s="132">
        <v>0</v>
      </c>
      <c r="H53" s="130" t="str">
        <f t="shared" si="3"/>
        <v/>
      </c>
      <c r="I53" s="119"/>
    </row>
    <row r="54" spans="1:9" ht="15.75" customHeight="1" x14ac:dyDescent="0.2">
      <c r="A54" s="120" t="str">
        <f>'Category Setup'!A181</f>
        <v/>
      </c>
      <c r="B54" s="133" t="str">
        <f>'Category Setup'!B181</f>
        <v/>
      </c>
      <c r="C54" s="119"/>
      <c r="D54" s="129" t="str">
        <f>IF($B54="","",E54/'Date Info'!$C$25)</f>
        <v/>
      </c>
      <c r="E54" s="130" t="str">
        <f>IF($B54="","",SUMIFS(Income!$D:$D,Income!$E:$E,$B54))</f>
        <v/>
      </c>
      <c r="F54" s="131"/>
      <c r="G54" s="132">
        <v>0</v>
      </c>
      <c r="H54" s="130" t="str">
        <f t="shared" si="3"/>
        <v/>
      </c>
      <c r="I54" s="119"/>
    </row>
    <row r="55" spans="1:9" ht="15.75" customHeight="1" x14ac:dyDescent="0.2">
      <c r="A55" s="120" t="str">
        <f>'Category Setup'!A182</f>
        <v/>
      </c>
      <c r="B55" s="133" t="str">
        <f>'Category Setup'!B182</f>
        <v/>
      </c>
      <c r="C55" s="119"/>
      <c r="D55" s="129" t="str">
        <f>IF($B55="","",E55/'Date Info'!$C$25)</f>
        <v/>
      </c>
      <c r="E55" s="130" t="str">
        <f>IF($B55="","",SUMIFS(Income!$D:$D,Income!$E:$E,$B55))</f>
        <v/>
      </c>
      <c r="F55" s="131"/>
      <c r="G55" s="136">
        <v>0</v>
      </c>
      <c r="H55" s="130" t="str">
        <f t="shared" si="3"/>
        <v/>
      </c>
      <c r="I55" s="119"/>
    </row>
    <row r="56" spans="1:9" ht="15.75" customHeight="1" x14ac:dyDescent="0.2">
      <c r="A56" s="120" t="str">
        <f>'Category Setup'!A183</f>
        <v/>
      </c>
      <c r="B56" s="133" t="str">
        <f>'Category Setup'!B183</f>
        <v/>
      </c>
      <c r="C56" s="119"/>
      <c r="D56" s="129" t="str">
        <f>IF($B56="","",E56/'Date Info'!$C$25)</f>
        <v/>
      </c>
      <c r="E56" s="130" t="str">
        <f>IF($B56="","",SUMIFS(Income!$D:$D,Income!$E:$E,$B56))</f>
        <v/>
      </c>
      <c r="F56" s="131"/>
      <c r="G56" s="136"/>
      <c r="H56" s="130" t="str">
        <f t="shared" si="3"/>
        <v/>
      </c>
      <c r="I56" s="119"/>
    </row>
    <row r="57" spans="1:9" ht="15.75" customHeight="1" x14ac:dyDescent="0.2">
      <c r="A57" s="120" t="str">
        <f>'Category Setup'!A184</f>
        <v/>
      </c>
      <c r="B57" s="133" t="str">
        <f>'Category Setup'!B184</f>
        <v/>
      </c>
      <c r="C57" s="119"/>
      <c r="D57" s="129" t="str">
        <f>IF($B57="","",E57/'Date Info'!$C$25)</f>
        <v/>
      </c>
      <c r="E57" s="130" t="str">
        <f>IF($B57="","",SUMIFS(Income!$D:$D,Income!$E:$E,$B57))</f>
        <v/>
      </c>
      <c r="F57" s="131"/>
      <c r="G57" s="136"/>
      <c r="H57" s="130" t="str">
        <f t="shared" si="3"/>
        <v/>
      </c>
      <c r="I57" s="119"/>
    </row>
    <row r="58" spans="1:9" ht="15.75" customHeight="1" x14ac:dyDescent="0.2">
      <c r="A58" s="120" t="str">
        <f>'Category Setup'!A185</f>
        <v/>
      </c>
      <c r="B58" s="133" t="str">
        <f>'Category Setup'!B185</f>
        <v/>
      </c>
      <c r="C58" s="119"/>
      <c r="D58" s="129" t="str">
        <f>IF($B58="","",E58/'Date Info'!$C$25)</f>
        <v/>
      </c>
      <c r="E58" s="130" t="str">
        <f>IF($B58="","",SUMIFS(Income!$D:$D,Income!$E:$E,$B58))</f>
        <v/>
      </c>
      <c r="F58" s="131"/>
      <c r="G58" s="136"/>
      <c r="H58" s="130" t="str">
        <f t="shared" si="3"/>
        <v/>
      </c>
      <c r="I58" s="119"/>
    </row>
    <row r="59" spans="1:9" ht="15.75" customHeight="1" x14ac:dyDescent="0.2">
      <c r="A59" s="120" t="str">
        <f>'Category Setup'!A186</f>
        <v/>
      </c>
      <c r="B59" s="133" t="str">
        <f>'Category Setup'!B186</f>
        <v/>
      </c>
      <c r="C59" s="119"/>
      <c r="D59" s="129" t="str">
        <f>IF($B59="","",E59/'Date Info'!$C$25)</f>
        <v/>
      </c>
      <c r="E59" s="130" t="str">
        <f>IF($B59="","",SUMIFS(Income!$D:$D,Income!$E:$E,$B59))</f>
        <v/>
      </c>
      <c r="F59" s="131"/>
      <c r="G59" s="136"/>
      <c r="H59" s="130" t="str">
        <f t="shared" si="3"/>
        <v/>
      </c>
      <c r="I59" s="119"/>
    </row>
    <row r="60" spans="1:9" ht="15.75" customHeight="1" x14ac:dyDescent="0.2">
      <c r="A60" s="120" t="str">
        <f>'Category Setup'!A187</f>
        <v/>
      </c>
      <c r="B60" s="133" t="str">
        <f>'Category Setup'!B187</f>
        <v/>
      </c>
      <c r="C60" s="119"/>
      <c r="D60" s="129" t="str">
        <f>IF($B60="","",E60/'Date Info'!$C$25)</f>
        <v/>
      </c>
      <c r="E60" s="130" t="str">
        <f>IF($B60="","",SUMIFS(Income!$D:$D,Income!$E:$E,$B60))</f>
        <v/>
      </c>
      <c r="F60" s="131"/>
      <c r="G60" s="136"/>
      <c r="H60" s="135" t="str">
        <f t="shared" si="3"/>
        <v/>
      </c>
      <c r="I60" s="119"/>
    </row>
    <row r="61" spans="1:9" ht="15.75" customHeight="1" x14ac:dyDescent="0.2">
      <c r="A61" s="120" t="str">
        <f>'Category Setup'!A188</f>
        <v/>
      </c>
      <c r="B61" s="133" t="str">
        <f>'Category Setup'!B188</f>
        <v/>
      </c>
      <c r="C61" s="119"/>
      <c r="D61" s="129" t="str">
        <f>IF($B61="","",E61/'Date Info'!$C$25)</f>
        <v/>
      </c>
      <c r="E61" s="130" t="str">
        <f>IF($B61="","",SUMIFS(Income!$D:$D,Income!$E:$E,$B61))</f>
        <v/>
      </c>
      <c r="F61" s="131"/>
      <c r="G61" s="136"/>
      <c r="H61" s="135" t="str">
        <f t="shared" si="3"/>
        <v/>
      </c>
      <c r="I61" s="119"/>
    </row>
    <row r="62" spans="1:9" ht="15.75" customHeight="1" x14ac:dyDescent="0.2">
      <c r="A62" s="120" t="str">
        <f>'Category Setup'!A189</f>
        <v/>
      </c>
      <c r="B62" s="137" t="str">
        <f>'Category Setup'!B189</f>
        <v/>
      </c>
      <c r="C62" s="119"/>
      <c r="D62" s="146" t="str">
        <f>IF($B62="","",E62/'Date Info'!$C$25)</f>
        <v/>
      </c>
      <c r="E62" s="147" t="str">
        <f>IF($B62="","",SUMIFS(Income!$D:$D,Income!$E:$E,$B62))</f>
        <v/>
      </c>
      <c r="F62" s="131"/>
      <c r="G62" s="140"/>
      <c r="H62" s="139" t="str">
        <f t="shared" si="3"/>
        <v/>
      </c>
      <c r="I62" s="119"/>
    </row>
    <row r="63" spans="1:9" ht="15.75" customHeight="1" x14ac:dyDescent="0.2">
      <c r="A63" s="148"/>
      <c r="B63" s="149" t="s">
        <v>67</v>
      </c>
      <c r="C63" s="141"/>
      <c r="D63" s="150">
        <f t="shared" ref="D63:E63" si="4">SUMIFS(D$48:D$62,$A$48:$A$62,"&gt;0")</f>
        <v>300</v>
      </c>
      <c r="E63" s="151">
        <f t="shared" si="4"/>
        <v>300</v>
      </c>
      <c r="F63" s="143"/>
      <c r="G63" s="150">
        <f t="shared" ref="G63:H63" si="5">SUMIFS(G$48:G$62,$A$48:$A$62,"&gt;0")</f>
        <v>0</v>
      </c>
      <c r="H63" s="151">
        <f t="shared" si="5"/>
        <v>0</v>
      </c>
      <c r="I63" s="119"/>
    </row>
    <row r="64" spans="1:9" ht="15.75" customHeight="1" x14ac:dyDescent="0.2">
      <c r="A64" s="148"/>
      <c r="B64" s="152"/>
      <c r="C64" s="119"/>
      <c r="D64" s="119"/>
      <c r="E64" s="119"/>
      <c r="F64" s="119"/>
      <c r="G64" s="119"/>
      <c r="H64" s="119"/>
      <c r="I64" s="119"/>
    </row>
    <row r="65" spans="1:9" ht="15.75" customHeight="1" x14ac:dyDescent="0.2">
      <c r="A65" s="148"/>
      <c r="B65" s="152"/>
      <c r="C65" s="119"/>
      <c r="D65" s="231" t="s">
        <v>81</v>
      </c>
      <c r="E65" s="232"/>
      <c r="F65" s="122"/>
      <c r="G65" s="231" t="s">
        <v>78</v>
      </c>
      <c r="H65" s="232"/>
      <c r="I65" s="119"/>
    </row>
    <row r="66" spans="1:9" ht="15.75" customHeight="1" x14ac:dyDescent="0.2">
      <c r="A66" s="148"/>
      <c r="B66" s="152"/>
      <c r="C66" s="119"/>
      <c r="D66" s="124" t="s">
        <v>74</v>
      </c>
      <c r="E66" s="125" t="str">
        <f>"Total ("&amp;'Date Info'!$C$26&amp;")"</f>
        <v>Total (1 month)</v>
      </c>
      <c r="F66" s="122"/>
      <c r="G66" s="126" t="s">
        <v>82</v>
      </c>
      <c r="H66" s="127" t="s">
        <v>83</v>
      </c>
      <c r="I66" s="119"/>
    </row>
    <row r="67" spans="1:9" ht="15.75" customHeight="1" x14ac:dyDescent="0.2">
      <c r="A67" s="148"/>
      <c r="B67" s="153" t="s">
        <v>67</v>
      </c>
      <c r="C67" s="119"/>
      <c r="D67" s="154">
        <f t="shared" ref="D67:E67" si="6">D63</f>
        <v>300</v>
      </c>
      <c r="E67" s="155">
        <f t="shared" si="6"/>
        <v>300</v>
      </c>
      <c r="F67" s="122"/>
      <c r="G67" s="154">
        <f t="shared" ref="G67:H67" si="7">G63</f>
        <v>0</v>
      </c>
      <c r="H67" s="155">
        <f t="shared" si="7"/>
        <v>0</v>
      </c>
      <c r="I67" s="119"/>
    </row>
    <row r="68" spans="1:9" ht="15.75" customHeight="1" x14ac:dyDescent="0.2">
      <c r="A68" s="148"/>
      <c r="B68" s="156" t="s">
        <v>62</v>
      </c>
      <c r="C68" s="119"/>
      <c r="D68" s="157">
        <f t="shared" ref="D68:E68" si="8">D44</f>
        <v>38</v>
      </c>
      <c r="E68" s="158">
        <f t="shared" si="8"/>
        <v>38</v>
      </c>
      <c r="F68" s="122"/>
      <c r="G68" s="157">
        <f t="shared" ref="G68:H68" si="9">G44</f>
        <v>0</v>
      </c>
      <c r="H68" s="158">
        <f t="shared" si="9"/>
        <v>0</v>
      </c>
      <c r="I68" s="119"/>
    </row>
    <row r="69" spans="1:9" ht="15.75" customHeight="1" x14ac:dyDescent="0.2">
      <c r="A69" s="148"/>
      <c r="B69" s="159" t="s">
        <v>70</v>
      </c>
      <c r="C69" s="119"/>
      <c r="D69" s="160">
        <f t="shared" ref="D69:E69" si="10">D67-D68</f>
        <v>262</v>
      </c>
      <c r="E69" s="161">
        <f t="shared" si="10"/>
        <v>262</v>
      </c>
      <c r="F69" s="122"/>
      <c r="G69" s="160">
        <f t="shared" ref="G69:H69" si="11">G67-G68</f>
        <v>0</v>
      </c>
      <c r="H69" s="161">
        <f t="shared" si="11"/>
        <v>0</v>
      </c>
      <c r="I69" s="119"/>
    </row>
    <row r="70" spans="1:9" ht="15.75" customHeight="1" x14ac:dyDescent="0.2">
      <c r="A70" s="148"/>
      <c r="B70" s="162" t="s">
        <v>71</v>
      </c>
      <c r="C70" s="163"/>
      <c r="D70" s="164">
        <f t="shared" ref="D70:E70" si="12">IFERROR(D69/D67,"n/a")</f>
        <v>0.87333333333333329</v>
      </c>
      <c r="E70" s="164">
        <f t="shared" si="12"/>
        <v>0.87333333333333329</v>
      </c>
      <c r="F70" s="164"/>
      <c r="G70" s="164" t="str">
        <f t="shared" ref="G70:H70" si="13">IFERROR(G69/G67,"n/a")</f>
        <v>n/a</v>
      </c>
      <c r="H70" s="164" t="str">
        <f t="shared" si="13"/>
        <v>n/a</v>
      </c>
      <c r="I70" s="119"/>
    </row>
    <row r="71" spans="1:9" ht="15.75" customHeight="1" x14ac:dyDescent="0.2">
      <c r="A71" s="148"/>
      <c r="B71" s="152"/>
      <c r="C71" s="119"/>
      <c r="D71" s="119"/>
      <c r="E71" s="119"/>
      <c r="F71" s="119"/>
      <c r="G71" s="119"/>
      <c r="H71" s="119"/>
      <c r="I71" s="119"/>
    </row>
    <row r="72" spans="1:9" ht="15.75" customHeight="1" x14ac:dyDescent="0.2">
      <c r="A72" s="148"/>
      <c r="B72" s="152"/>
      <c r="C72" s="119"/>
      <c r="D72" s="119"/>
      <c r="E72" s="119"/>
      <c r="F72" s="119"/>
      <c r="G72" s="119"/>
      <c r="H72" s="119"/>
      <c r="I72" s="119"/>
    </row>
    <row r="73" spans="1:9" ht="15.75" customHeight="1" x14ac:dyDescent="0.2">
      <c r="A73" s="148"/>
      <c r="B73" s="236" t="s">
        <v>84</v>
      </c>
      <c r="C73" s="237"/>
      <c r="D73" s="237"/>
      <c r="E73" s="237"/>
      <c r="F73" s="237"/>
      <c r="G73" s="237"/>
      <c r="H73" s="237"/>
      <c r="I73" s="119"/>
    </row>
    <row r="74" spans="1:9" ht="15.75" customHeight="1" x14ac:dyDescent="0.2">
      <c r="A74" s="148"/>
      <c r="B74" s="237"/>
      <c r="C74" s="237"/>
      <c r="D74" s="237"/>
      <c r="E74" s="237"/>
      <c r="F74" s="237"/>
      <c r="G74" s="237"/>
      <c r="H74" s="237"/>
      <c r="I74" s="119"/>
    </row>
    <row r="75" spans="1:9" ht="15.75" customHeight="1" x14ac:dyDescent="0.2">
      <c r="A75" s="148"/>
      <c r="B75" s="144"/>
      <c r="C75" s="119"/>
      <c r="D75" s="231" t="s">
        <v>85</v>
      </c>
      <c r="E75" s="232"/>
      <c r="F75" s="122"/>
      <c r="G75" s="231" t="s">
        <v>78</v>
      </c>
      <c r="H75" s="232"/>
      <c r="I75" s="119"/>
    </row>
    <row r="76" spans="1:9" ht="15.75" customHeight="1" x14ac:dyDescent="0.2">
      <c r="A76" s="148"/>
      <c r="B76" s="145" t="s">
        <v>84</v>
      </c>
      <c r="C76" s="119"/>
      <c r="D76" s="124" t="s">
        <v>74</v>
      </c>
      <c r="E76" s="125" t="str">
        <f>"Total ("&amp;'Date Info'!$C$26&amp;")"</f>
        <v>Total (1 month)</v>
      </c>
      <c r="F76" s="122"/>
      <c r="G76" s="126" t="s">
        <v>79</v>
      </c>
      <c r="H76" s="127" t="s">
        <v>80</v>
      </c>
      <c r="I76" s="119"/>
    </row>
    <row r="77" spans="1:9" ht="15.75" customHeight="1" x14ac:dyDescent="0.2">
      <c r="A77" s="148">
        <f>'Category Setup'!A196</f>
        <v>1</v>
      </c>
      <c r="B77" s="128" t="str">
        <f>'Category Setup'!B62</f>
        <v>Personal SBI (Saving)</v>
      </c>
      <c r="C77" s="119"/>
      <c r="D77" s="129">
        <f>IF($B77="","",E77/'Date Info'!$C$25)</f>
        <v>5</v>
      </c>
      <c r="E77" s="130">
        <f>IF($B77="","",SUMIFS(InHand!$D:$D,InHand!$E:$E,$B77))</f>
        <v>5</v>
      </c>
      <c r="F77" s="131"/>
      <c r="G77" s="132">
        <v>25000</v>
      </c>
      <c r="H77" s="130">
        <f t="shared" ref="H77:H91" si="14">IF($B77="","",G77*12)</f>
        <v>300000</v>
      </c>
      <c r="I77" s="119"/>
    </row>
    <row r="78" spans="1:9" ht="15.75" customHeight="1" x14ac:dyDescent="0.2">
      <c r="A78" s="148">
        <f>'Category Setup'!A197</f>
        <v>2</v>
      </c>
      <c r="B78" s="133" t="str">
        <f>'Category Setup'!B63</f>
        <v>SBI FD</v>
      </c>
      <c r="C78" s="119"/>
      <c r="D78" s="129">
        <f>IF($B78="","",E78/'Date Info'!$C$25)</f>
        <v>0</v>
      </c>
      <c r="E78" s="130">
        <f>IF($B78="","",SUMIFS(InHand!$D:$D,InHand!$E:$E,$B78))</f>
        <v>0</v>
      </c>
      <c r="F78" s="131"/>
      <c r="G78" s="132">
        <v>0</v>
      </c>
      <c r="H78" s="130">
        <f t="shared" si="14"/>
        <v>0</v>
      </c>
      <c r="I78" s="119"/>
    </row>
    <row r="79" spans="1:9" ht="15.75" customHeight="1" x14ac:dyDescent="0.2">
      <c r="A79" s="148" t="str">
        <f>'Category Setup'!A198</f>
        <v/>
      </c>
      <c r="B79" s="133">
        <f>'Category Setup'!B64</f>
        <v>0</v>
      </c>
      <c r="C79" s="119"/>
      <c r="D79" s="129">
        <f>IF($B79="","",E79/'Date Info'!$C$25)</f>
        <v>0</v>
      </c>
      <c r="E79" s="130">
        <f>IF($B79="","",SUMIFS(InHand!$D:$D,InHand!$E:$E,$B79))</f>
        <v>0</v>
      </c>
      <c r="F79" s="131"/>
      <c r="G79" s="132">
        <v>41667</v>
      </c>
      <c r="H79" s="130">
        <f t="shared" si="14"/>
        <v>500004</v>
      </c>
      <c r="I79" s="119"/>
    </row>
    <row r="80" spans="1:9" ht="15.75" customHeight="1" x14ac:dyDescent="0.2">
      <c r="A80" s="148" t="str">
        <f>'Category Setup'!A199</f>
        <v/>
      </c>
      <c r="B80" s="133">
        <f>'Category Setup'!B65</f>
        <v>0</v>
      </c>
      <c r="C80" s="119"/>
      <c r="D80" s="129">
        <f>IF($B80="","",E80/'Date Info'!$C$25)</f>
        <v>0</v>
      </c>
      <c r="E80" s="130">
        <f>IF($B80="","",SUMIFS(Income!$D:$D,Income!$E:$E,$B80))</f>
        <v>0</v>
      </c>
      <c r="F80" s="131"/>
      <c r="G80" s="132">
        <v>25000</v>
      </c>
      <c r="H80" s="130">
        <f t="shared" si="14"/>
        <v>300000</v>
      </c>
      <c r="I80" s="119"/>
    </row>
    <row r="81" spans="1:9" ht="15.75" customHeight="1" x14ac:dyDescent="0.2">
      <c r="A81" s="148" t="str">
        <f>'Category Setup'!A200</f>
        <v/>
      </c>
      <c r="B81" s="133">
        <f>'Category Setup'!B66</f>
        <v>0</v>
      </c>
      <c r="C81" s="119"/>
      <c r="D81" s="129">
        <f>IF($B81="","",E81/'Date Info'!$C$25)</f>
        <v>0</v>
      </c>
      <c r="E81" s="130">
        <f>IF($B81="","",SUMIFS(Income!$D:$D,Income!$E:$E,$B81))</f>
        <v>0</v>
      </c>
      <c r="F81" s="131"/>
      <c r="G81" s="132">
        <v>0</v>
      </c>
      <c r="H81" s="130">
        <f t="shared" si="14"/>
        <v>0</v>
      </c>
      <c r="I81" s="119"/>
    </row>
    <row r="82" spans="1:9" ht="15.75" customHeight="1" x14ac:dyDescent="0.2">
      <c r="A82" s="148" t="str">
        <f>'Category Setup'!A201</f>
        <v/>
      </c>
      <c r="B82" s="133">
        <f>'Category Setup'!B67</f>
        <v>0</v>
      </c>
      <c r="C82" s="119"/>
      <c r="D82" s="129">
        <f>IF($B82="","",E82/'Date Info'!$C$25)</f>
        <v>0</v>
      </c>
      <c r="E82" s="130">
        <f>IF($B82="","",SUMIFS(Income!$D:$D,Income!$E:$E,$B82))</f>
        <v>0</v>
      </c>
      <c r="F82" s="131"/>
      <c r="G82" s="132">
        <v>0</v>
      </c>
      <c r="H82" s="130">
        <f t="shared" si="14"/>
        <v>0</v>
      </c>
      <c r="I82" s="119"/>
    </row>
    <row r="83" spans="1:9" ht="15.75" customHeight="1" x14ac:dyDescent="0.2">
      <c r="A83" s="148" t="str">
        <f>'Category Setup'!A202</f>
        <v/>
      </c>
      <c r="B83" s="133" t="str">
        <f>'Category Setup'!B207</f>
        <v/>
      </c>
      <c r="C83" s="119"/>
      <c r="D83" s="129" t="str">
        <f>IF($B83="","",E83/'Date Info'!$C$25)</f>
        <v/>
      </c>
      <c r="E83" s="130" t="str">
        <f>IF($B83="","",SUMIFS(Income!$D:$D,Income!$E:$E,$B83))</f>
        <v/>
      </c>
      <c r="F83" s="131"/>
      <c r="G83" s="132">
        <v>0</v>
      </c>
      <c r="H83" s="130" t="str">
        <f t="shared" si="14"/>
        <v/>
      </c>
      <c r="I83" s="119"/>
    </row>
    <row r="84" spans="1:9" ht="15.75" customHeight="1" x14ac:dyDescent="0.2">
      <c r="A84" s="148" t="str">
        <f>'Category Setup'!A203</f>
        <v/>
      </c>
      <c r="B84" s="133" t="str">
        <f>'Category Setup'!B208</f>
        <v/>
      </c>
      <c r="C84" s="119"/>
      <c r="D84" s="129" t="str">
        <f>IF($B84="","",E84/'Date Info'!$C$25)</f>
        <v/>
      </c>
      <c r="E84" s="130" t="str">
        <f>IF($B84="","",SUMIFS(Income!$D:$D,Income!$E:$E,$B84))</f>
        <v/>
      </c>
      <c r="F84" s="131"/>
      <c r="G84" s="136">
        <v>0</v>
      </c>
      <c r="H84" s="130" t="str">
        <f t="shared" si="14"/>
        <v/>
      </c>
      <c r="I84" s="119"/>
    </row>
    <row r="85" spans="1:9" ht="15.75" customHeight="1" x14ac:dyDescent="0.2">
      <c r="A85" s="148">
        <f>'Category Setup'!A204</f>
        <v>0</v>
      </c>
      <c r="B85" s="133" t="str">
        <f>'Category Setup'!B209</f>
        <v/>
      </c>
      <c r="C85" s="119"/>
      <c r="D85" s="129" t="str">
        <f>IF($B85="","",E85/'Date Info'!$C$25)</f>
        <v/>
      </c>
      <c r="E85" s="130" t="str">
        <f>IF($B85="","",SUMIFS(Income!$D:$D,Income!$E:$E,$B85))</f>
        <v/>
      </c>
      <c r="F85" s="131"/>
      <c r="G85" s="136"/>
      <c r="H85" s="130" t="str">
        <f t="shared" si="14"/>
        <v/>
      </c>
      <c r="I85" s="119"/>
    </row>
    <row r="86" spans="1:9" ht="15.75" customHeight="1" x14ac:dyDescent="0.2">
      <c r="A86" s="148">
        <f>'Category Setup'!A205</f>
        <v>0</v>
      </c>
      <c r="B86" s="133" t="str">
        <f>'Category Setup'!B210</f>
        <v/>
      </c>
      <c r="C86" s="119"/>
      <c r="D86" s="129" t="str">
        <f>IF($B86="","",E86/'Date Info'!$C$25)</f>
        <v/>
      </c>
      <c r="E86" s="130" t="str">
        <f>IF($B86="","",SUMIFS(Income!$D:$D,Income!$E:$E,$B86))</f>
        <v/>
      </c>
      <c r="F86" s="131"/>
      <c r="G86" s="136"/>
      <c r="H86" s="130" t="str">
        <f t="shared" si="14"/>
        <v/>
      </c>
      <c r="I86" s="119"/>
    </row>
    <row r="87" spans="1:9" ht="15.75" customHeight="1" x14ac:dyDescent="0.2">
      <c r="A87" s="148">
        <f>'Category Setup'!A206</f>
        <v>0</v>
      </c>
      <c r="B87" s="133">
        <f>'Category Setup'!B211</f>
        <v>0</v>
      </c>
      <c r="C87" s="119"/>
      <c r="D87" s="129">
        <f>IF($B87="","",E87/'Date Info'!$C$25)</f>
        <v>0</v>
      </c>
      <c r="E87" s="130">
        <f>IF($B87="","",SUMIFS(Income!$D:$D,Income!$E:$E,$B87))</f>
        <v>0</v>
      </c>
      <c r="F87" s="131"/>
      <c r="G87" s="136"/>
      <c r="H87" s="130">
        <f t="shared" si="14"/>
        <v>0</v>
      </c>
      <c r="I87" s="119"/>
    </row>
    <row r="88" spans="1:9" ht="15.75" customHeight="1" x14ac:dyDescent="0.2">
      <c r="A88" s="148">
        <f>'Category Setup'!A207</f>
        <v>0</v>
      </c>
      <c r="B88" s="133">
        <f>'Category Setup'!B212</f>
        <v>0</v>
      </c>
      <c r="C88" s="119"/>
      <c r="D88" s="129">
        <f>IF($B88="","",E88/'Date Info'!$C$25)</f>
        <v>0</v>
      </c>
      <c r="E88" s="130">
        <f>IF($B88="","",SUMIFS(Income!$D:$D,Income!$E:$E,$B88))</f>
        <v>0</v>
      </c>
      <c r="F88" s="131"/>
      <c r="G88" s="136"/>
      <c r="H88" s="130">
        <f t="shared" si="14"/>
        <v>0</v>
      </c>
      <c r="I88" s="119"/>
    </row>
    <row r="89" spans="1:9" ht="15.75" customHeight="1" x14ac:dyDescent="0.2">
      <c r="A89" s="148">
        <f>'Category Setup'!A208</f>
        <v>0</v>
      </c>
      <c r="B89" s="133">
        <f>'Category Setup'!B213</f>
        <v>0</v>
      </c>
      <c r="C89" s="119"/>
      <c r="D89" s="129">
        <f>IF($B89="","",E89/'Date Info'!$C$25)</f>
        <v>0</v>
      </c>
      <c r="E89" s="130">
        <f>IF($B89="","",SUMIFS(Income!$D:$D,Income!$E:$E,$B89))</f>
        <v>0</v>
      </c>
      <c r="F89" s="131"/>
      <c r="G89" s="136"/>
      <c r="H89" s="135">
        <f t="shared" si="14"/>
        <v>0</v>
      </c>
      <c r="I89" s="119"/>
    </row>
    <row r="90" spans="1:9" ht="15.75" customHeight="1" x14ac:dyDescent="0.2">
      <c r="A90" s="148">
        <f>'Category Setup'!A209</f>
        <v>0</v>
      </c>
      <c r="B90" s="133">
        <f>'Category Setup'!B214</f>
        <v>0</v>
      </c>
      <c r="C90" s="119"/>
      <c r="D90" s="129">
        <f>IF($B90="","",E90/'Date Info'!$C$25)</f>
        <v>0</v>
      </c>
      <c r="E90" s="130">
        <f>IF($B90="","",SUMIFS(Income!$D:$D,Income!$E:$E,$B90))</f>
        <v>0</v>
      </c>
      <c r="F90" s="131"/>
      <c r="G90" s="136"/>
      <c r="H90" s="135">
        <f t="shared" si="14"/>
        <v>0</v>
      </c>
      <c r="I90" s="119"/>
    </row>
    <row r="91" spans="1:9" ht="15.75" customHeight="1" x14ac:dyDescent="0.2">
      <c r="A91" s="148">
        <f>'Category Setup'!A210</f>
        <v>0</v>
      </c>
      <c r="B91" s="137">
        <f>'Category Setup'!B215</f>
        <v>0</v>
      </c>
      <c r="C91" s="119"/>
      <c r="D91" s="146">
        <f>IF($B91="","",E91/'Date Info'!$C$25)</f>
        <v>0</v>
      </c>
      <c r="E91" s="147">
        <f>IF($B91="","",SUMIFS(Income!$D:$D,Income!$E:$E,$B91))</f>
        <v>0</v>
      </c>
      <c r="F91" s="131"/>
      <c r="G91" s="140"/>
      <c r="H91" s="139">
        <f t="shared" si="14"/>
        <v>0</v>
      </c>
      <c r="I91" s="119"/>
    </row>
    <row r="92" spans="1:9" ht="15.75" customHeight="1" x14ac:dyDescent="0.2">
      <c r="A92" s="148"/>
      <c r="B92" s="149" t="s">
        <v>67</v>
      </c>
      <c r="C92" s="141"/>
      <c r="D92" s="150">
        <f>SUMIFS(D$48:D$62,$A$48:$A$62,"&gt;0")</f>
        <v>300</v>
      </c>
      <c r="E92" s="151">
        <f>SUMIFS($E77:$E91,$A$77:$A$91,"&gt;0")</f>
        <v>5</v>
      </c>
      <c r="F92" s="143"/>
      <c r="G92" s="150">
        <f t="shared" ref="G92:H92" si="15">SUMIFS(G$77:G$91,$A$77:$A$91,"&gt;0")</f>
        <v>25000</v>
      </c>
      <c r="H92" s="151">
        <f t="shared" si="15"/>
        <v>300000</v>
      </c>
      <c r="I92" s="119"/>
    </row>
    <row r="93" spans="1:9" ht="15.75" customHeight="1" x14ac:dyDescent="0.2">
      <c r="A93" s="148"/>
      <c r="B93" s="152"/>
      <c r="C93" s="119"/>
      <c r="D93" s="119"/>
      <c r="E93" s="119"/>
      <c r="F93" s="119"/>
      <c r="G93" s="119"/>
      <c r="H93" s="119"/>
      <c r="I93" s="119"/>
    </row>
    <row r="94" spans="1:9" ht="15.75" customHeight="1" x14ac:dyDescent="0.2">
      <c r="A94" s="148"/>
      <c r="F94" s="122"/>
      <c r="G94" s="119"/>
      <c r="H94" s="119"/>
      <c r="I94" s="119"/>
    </row>
  </sheetData>
  <mergeCells count="9">
    <mergeCell ref="D75:E75"/>
    <mergeCell ref="G75:H75"/>
    <mergeCell ref="D2:E2"/>
    <mergeCell ref="G2:H2"/>
    <mergeCell ref="D46:E46"/>
    <mergeCell ref="G46:H46"/>
    <mergeCell ref="D65:E65"/>
    <mergeCell ref="G65:H65"/>
    <mergeCell ref="B73:H74"/>
  </mergeCells>
  <conditionalFormatting sqref="B4:B43 D4:E43 G4:H43 B48:B62 D48:E62 G48:H62 B77:B91 D77:E91 G77:H91">
    <cfRule type="expression" dxfId="0" priority="1">
      <formula>$B4=""</formula>
    </cfRule>
  </conditionalFormatting>
  <conditionalFormatting sqref="E4:E43">
    <cfRule type="colorScale" priority="2">
      <colorScale>
        <cfvo type="formula" val="100"/>
        <cfvo type="percentile" val="30"/>
        <cfvo type="max"/>
        <color rgb="FF57BB8A"/>
        <color rgb="FFFFFFFF"/>
        <color rgb="FFE67C73"/>
      </colorScale>
    </cfRule>
  </conditionalFormatting>
  <dataValidations count="1">
    <dataValidation type="decimal" allowBlank="1" showDropDown="1" showInputMessage="1" showErrorMessage="1" prompt="Enter a valid number" sqref="G4:G43 G48:G62 G77:G91" xr:uid="{00000000-0002-0000-0500-000000000000}">
      <formula1>-1000000000000</formula1>
      <formula2>1000000000000</formula2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  <outlinePr summaryBelow="0" summaryRight="0"/>
  </sheetPr>
  <dimension ref="A1:O604"/>
  <sheetViews>
    <sheetView showGridLines="0" workbookViewId="0">
      <pane ySplit="4" topLeftCell="A5" activePane="bottomLeft" state="frozen"/>
      <selection pane="bottomLeft" activeCell="G7" sqref="G7"/>
    </sheetView>
  </sheetViews>
  <sheetFormatPr defaultColWidth="12.5703125" defaultRowHeight="15" customHeight="1" x14ac:dyDescent="0.2"/>
  <cols>
    <col min="1" max="1" width="4" customWidth="1"/>
    <col min="2" max="2" width="7.42578125" bestFit="1" customWidth="1"/>
    <col min="3" max="3" width="11.42578125" customWidth="1"/>
    <col min="4" max="4" width="10.28515625" bestFit="1" customWidth="1"/>
    <col min="5" max="5" width="10.140625" customWidth="1"/>
    <col min="6" max="7" width="11.28515625" customWidth="1"/>
    <col min="8" max="8" width="13.5703125" customWidth="1"/>
    <col min="9" max="9" width="15.140625" bestFit="1" customWidth="1"/>
    <col min="10" max="10" width="17.42578125" customWidth="1"/>
    <col min="11" max="12" width="11.28515625" customWidth="1"/>
    <col min="13" max="13" width="14.28515625" customWidth="1"/>
    <col min="14" max="15" width="10.140625" customWidth="1"/>
  </cols>
  <sheetData>
    <row r="1" spans="1:15" ht="15.75" customHeight="1" x14ac:dyDescent="0.2">
      <c r="A1" s="165" t="s">
        <v>86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</row>
    <row r="2" spans="1:15" ht="15.75" customHeight="1" x14ac:dyDescent="0.2">
      <c r="A2" s="165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</row>
    <row r="3" spans="1:15" ht="15.75" customHeight="1" x14ac:dyDescent="0.25">
      <c r="A3" s="165"/>
      <c r="B3" s="167"/>
      <c r="C3" s="238" t="s">
        <v>87</v>
      </c>
      <c r="D3" s="239"/>
      <c r="E3" s="238" t="s">
        <v>88</v>
      </c>
      <c r="F3" s="240"/>
      <c r="G3" s="239"/>
      <c r="H3" s="238" t="s">
        <v>89</v>
      </c>
      <c r="I3" s="239"/>
      <c r="J3" s="238" t="s">
        <v>90</v>
      </c>
      <c r="K3" s="240"/>
      <c r="L3" s="239"/>
      <c r="M3" s="238" t="s">
        <v>91</v>
      </c>
      <c r="N3" s="240"/>
      <c r="O3" s="239"/>
    </row>
    <row r="4" spans="1:15" ht="15.75" customHeight="1" x14ac:dyDescent="0.25">
      <c r="A4" s="165"/>
      <c r="B4" s="167" t="s">
        <v>92</v>
      </c>
      <c r="C4" s="167" t="s">
        <v>93</v>
      </c>
      <c r="D4" s="167" t="s">
        <v>94</v>
      </c>
      <c r="E4" s="167" t="s">
        <v>95</v>
      </c>
      <c r="F4" s="167" t="s">
        <v>96</v>
      </c>
      <c r="G4" s="167" t="s">
        <v>97</v>
      </c>
      <c r="H4" s="167" t="s">
        <v>98</v>
      </c>
      <c r="I4" s="167" t="s">
        <v>99</v>
      </c>
      <c r="J4" s="167" t="s">
        <v>95</v>
      </c>
      <c r="K4" s="167" t="s">
        <v>96</v>
      </c>
      <c r="L4" s="167" t="s">
        <v>97</v>
      </c>
      <c r="M4" s="167" t="s">
        <v>95</v>
      </c>
      <c r="N4" s="167" t="s">
        <v>96</v>
      </c>
      <c r="O4" s="167" t="s">
        <v>97</v>
      </c>
    </row>
    <row r="5" spans="1:15" ht="15.75" customHeight="1" x14ac:dyDescent="0.2">
      <c r="A5" s="165">
        <v>1</v>
      </c>
      <c r="B5" s="168"/>
      <c r="C5" s="169">
        <v>45689</v>
      </c>
      <c r="D5" s="168">
        <f>EOMONTH(C5,0)</f>
        <v>45716</v>
      </c>
      <c r="E5" s="170">
        <f>IF($D5="","",IFERROR(SUMIFS(Expenses!$E:$E,Expenses!$B:$B,"&gt;="&amp;$C5,Expenses!$B:$B,"&lt;="&amp;$D5),"na"))</f>
        <v>0</v>
      </c>
      <c r="F5" s="170">
        <f>IF($D5="","",IFERROR(SUMIFS(Income!$D:$D,Income!$B:$B,"&gt;="&amp;$C5,Income!$B:$B,"&lt;="&amp;$D5),"na"))</f>
        <v>0</v>
      </c>
      <c r="G5" s="170">
        <f t="shared" ref="G5:G259" si="0">IF(E5="","",F5-E5)</f>
        <v>0</v>
      </c>
      <c r="H5" s="171" t="str">
        <f t="shared" ref="H5:H259" si="1">IFERROR(E5/F5,"na")</f>
        <v>na</v>
      </c>
      <c r="I5" s="171" t="str">
        <f t="shared" ref="I5:I259" si="2">IFERROR(G5/F5,"na")</f>
        <v>na</v>
      </c>
      <c r="J5" s="170">
        <f>IF(E5="","",SUM(E$5:E$404)/'Date Info'!$E$21)</f>
        <v>38</v>
      </c>
      <c r="K5" s="170">
        <f>IF(F5="","",SUM(F$5:F$404)/'Date Info'!$E$21)</f>
        <v>300</v>
      </c>
      <c r="L5" s="170">
        <f>IF(G5="","",SUM(G$5:G$404)/'Date Info'!$E$21)</f>
        <v>262</v>
      </c>
      <c r="M5" s="170">
        <f>IF($D5="","",'Total &amp; Budget Targets'!$G$44)</f>
        <v>0</v>
      </c>
      <c r="N5" s="170">
        <f>IF($D5="","",'Total &amp; Budget Targets'!$G$63)</f>
        <v>0</v>
      </c>
      <c r="O5" s="170">
        <f>IF($D5="","",'Total &amp; Budget Targets'!$G$69)</f>
        <v>0</v>
      </c>
    </row>
    <row r="6" spans="1:15" ht="15.75" customHeight="1" x14ac:dyDescent="0.2">
      <c r="A6" s="165">
        <f t="shared" ref="A6:A260" si="3">A5+1</f>
        <v>2</v>
      </c>
      <c r="B6" s="172"/>
      <c r="C6" s="169">
        <f>IF(D5="","",IF(D5+1&gt;'Date Info'!$D$21,"",D5+1))</f>
        <v>45717</v>
      </c>
      <c r="D6" s="172">
        <f>IFERROR(IF(C6="","",IF(EOMONTH(C6,0)&gt;'Date Info'!$D$21,'Date Info'!$D$21,EOMONTH(C6,0))),"")</f>
        <v>45747</v>
      </c>
      <c r="E6" s="173">
        <f>IF($D6="","",IFERROR(SUMIFS(Expenses!$E:$E,Expenses!$B:$B,"&gt;="&amp;$C6,Expenses!$B:$B,"&lt;="&amp;$D6),"na"))</f>
        <v>38</v>
      </c>
      <c r="F6" s="173">
        <f>IF($D6="","",IFERROR(SUMIFS(Income!$D:$D,Income!$B:$B,"&gt;="&amp;$C6,Income!$B:$B,"&lt;="&amp;$D6),"na"))</f>
        <v>300</v>
      </c>
      <c r="G6" s="173">
        <f t="shared" si="0"/>
        <v>262</v>
      </c>
      <c r="H6" s="174">
        <f t="shared" si="1"/>
        <v>0.12666666666666668</v>
      </c>
      <c r="I6" s="174">
        <f t="shared" si="2"/>
        <v>0.87333333333333329</v>
      </c>
      <c r="J6" s="173">
        <f t="shared" ref="J6:L6" si="4">IF(E6="","",J$5)</f>
        <v>38</v>
      </c>
      <c r="K6" s="173">
        <f t="shared" si="4"/>
        <v>300</v>
      </c>
      <c r="L6" s="173">
        <f t="shared" si="4"/>
        <v>262</v>
      </c>
      <c r="M6" s="173">
        <f>IF($D6="","",'Total &amp; Budget Targets'!$G$44)</f>
        <v>0</v>
      </c>
      <c r="N6" s="173">
        <f>IF($D6="","",'Total &amp; Budget Targets'!$G$63)</f>
        <v>0</v>
      </c>
      <c r="O6" s="173">
        <f>IF($D6="","",'Total &amp; Budget Targets'!$G$69)</f>
        <v>0</v>
      </c>
    </row>
    <row r="7" spans="1:15" ht="15.75" customHeight="1" x14ac:dyDescent="0.2">
      <c r="A7" s="165">
        <f t="shared" si="3"/>
        <v>3</v>
      </c>
      <c r="B7" s="172"/>
      <c r="C7" s="169">
        <f>IF(D6="","",IF(D6+1&gt;'Date Info'!$D$21,"",D6+1))</f>
        <v>45748</v>
      </c>
      <c r="D7" s="172">
        <f>IFERROR(IF(C7="","",IF(EOMONTH(C7,0)&gt;'Date Info'!$D$21,'Date Info'!$D$21,EOMONTH(C7,0))),"")</f>
        <v>45777</v>
      </c>
      <c r="E7" s="173">
        <f>IF($D7="","",IFERROR(SUMIFS(Expenses!$E:$E,Expenses!$B:$B,"&gt;="&amp;$C7,Expenses!$B:$B,"&lt;="&amp;$D7),"na"))</f>
        <v>0</v>
      </c>
      <c r="F7" s="173">
        <f>IF($D7="","",IFERROR(SUMIFS(Income!$D:$D,Income!$B:$B,"&gt;="&amp;$C7,Income!$B:$B,"&lt;="&amp;$D7),"na"))</f>
        <v>0</v>
      </c>
      <c r="G7" s="173">
        <f t="shared" si="0"/>
        <v>0</v>
      </c>
      <c r="H7" s="174" t="str">
        <f t="shared" si="1"/>
        <v>na</v>
      </c>
      <c r="I7" s="174" t="str">
        <f t="shared" si="2"/>
        <v>na</v>
      </c>
      <c r="J7" s="173">
        <f t="shared" ref="J7:L7" si="5">IF(E7="","",J$5)</f>
        <v>38</v>
      </c>
      <c r="K7" s="173">
        <f t="shared" si="5"/>
        <v>300</v>
      </c>
      <c r="L7" s="173">
        <f t="shared" si="5"/>
        <v>262</v>
      </c>
      <c r="M7" s="173">
        <f>IF($D7="","",'Total &amp; Budget Targets'!$G$44)</f>
        <v>0</v>
      </c>
      <c r="N7" s="173">
        <f>IF($D7="","",'Total &amp; Budget Targets'!$G$63)</f>
        <v>0</v>
      </c>
      <c r="O7" s="173">
        <f>IF($D7="","",'Total &amp; Budget Targets'!$G$69)</f>
        <v>0</v>
      </c>
    </row>
    <row r="8" spans="1:15" ht="15.75" customHeight="1" x14ac:dyDescent="0.2">
      <c r="A8" s="165">
        <f t="shared" si="3"/>
        <v>4</v>
      </c>
      <c r="B8" s="172"/>
      <c r="C8" s="169">
        <f>IF(D7="","",IF(D7+1&gt;'Date Info'!$D$21,"",D7+1))</f>
        <v>45778</v>
      </c>
      <c r="D8" s="172">
        <f>IFERROR(IF(C8="","",IF(EOMONTH(C8,0)&gt;'Date Info'!$D$21,'Date Info'!$D$21,EOMONTH(C8,0))),"")</f>
        <v>45808</v>
      </c>
      <c r="E8" s="173">
        <f>IF($D8="","",IFERROR(SUMIFS(Expenses!$E:$E,Expenses!$B:$B,"&gt;="&amp;$C8,Expenses!$B:$B,"&lt;="&amp;$D8),"na"))</f>
        <v>0</v>
      </c>
      <c r="F8" s="173">
        <f>IF($D8="","",IFERROR(SUMIFS(Income!$D:$D,Income!$B:$B,"&gt;="&amp;$C8,Income!$B:$B,"&lt;="&amp;$D8),"na"))</f>
        <v>0</v>
      </c>
      <c r="G8" s="173">
        <f t="shared" si="0"/>
        <v>0</v>
      </c>
      <c r="H8" s="174" t="str">
        <f t="shared" si="1"/>
        <v>na</v>
      </c>
      <c r="I8" s="174" t="str">
        <f t="shared" si="2"/>
        <v>na</v>
      </c>
      <c r="J8" s="173">
        <f t="shared" ref="J8:L8" si="6">IF(E8="","",J$5)</f>
        <v>38</v>
      </c>
      <c r="K8" s="173">
        <f t="shared" si="6"/>
        <v>300</v>
      </c>
      <c r="L8" s="173">
        <f t="shared" si="6"/>
        <v>262</v>
      </c>
      <c r="M8" s="173">
        <f>IF($D8="","",'Total &amp; Budget Targets'!$G$44)</f>
        <v>0</v>
      </c>
      <c r="N8" s="173">
        <f>IF($D8="","",'Total &amp; Budget Targets'!$G$63)</f>
        <v>0</v>
      </c>
      <c r="O8" s="173">
        <f>IF($D8="","",'Total &amp; Budget Targets'!$G$69)</f>
        <v>0</v>
      </c>
    </row>
    <row r="9" spans="1:15" ht="15.75" customHeight="1" x14ac:dyDescent="0.2">
      <c r="A9" s="165">
        <f t="shared" si="3"/>
        <v>5</v>
      </c>
      <c r="B9" s="172"/>
      <c r="C9" s="169">
        <f>IF(D8="","",IF(D8+1&gt;'Date Info'!$D$21,"",D8+1))</f>
        <v>45809</v>
      </c>
      <c r="D9" s="172">
        <f>IFERROR(IF(C9="","",IF(EOMONTH(C9,0)&gt;'Date Info'!$D$21,'Date Info'!$D$21,EOMONTH(C9,0))),"")</f>
        <v>45838</v>
      </c>
      <c r="E9" s="173">
        <f>IF($D9="","",IFERROR(SUMIFS(Expenses!$E:$E,Expenses!$B:$B,"&gt;="&amp;$C9,Expenses!$B:$B,"&lt;="&amp;$D9),"na"))</f>
        <v>0</v>
      </c>
      <c r="F9" s="173">
        <f>IF($D9="","",IFERROR(SUMIFS(Income!$D:$D,Income!$B:$B,"&gt;="&amp;$C9,Income!$B:$B,"&lt;="&amp;$D9),"na"))</f>
        <v>0</v>
      </c>
      <c r="G9" s="173">
        <f t="shared" si="0"/>
        <v>0</v>
      </c>
      <c r="H9" s="174" t="str">
        <f t="shared" si="1"/>
        <v>na</v>
      </c>
      <c r="I9" s="174" t="str">
        <f t="shared" si="2"/>
        <v>na</v>
      </c>
      <c r="J9" s="173">
        <f t="shared" ref="J9:L9" si="7">IF(E9="","",J$5)</f>
        <v>38</v>
      </c>
      <c r="K9" s="173">
        <f t="shared" si="7"/>
        <v>300</v>
      </c>
      <c r="L9" s="173">
        <f t="shared" si="7"/>
        <v>262</v>
      </c>
      <c r="M9" s="173">
        <f>IF($D9="","",'Total &amp; Budget Targets'!$G$44)</f>
        <v>0</v>
      </c>
      <c r="N9" s="173">
        <f>IF($D9="","",'Total &amp; Budget Targets'!$G$63)</f>
        <v>0</v>
      </c>
      <c r="O9" s="173">
        <f>IF($D9="","",'Total &amp; Budget Targets'!$G$69)</f>
        <v>0</v>
      </c>
    </row>
    <row r="10" spans="1:15" ht="15.75" customHeight="1" x14ac:dyDescent="0.2">
      <c r="A10" s="165">
        <f t="shared" si="3"/>
        <v>6</v>
      </c>
      <c r="B10" s="172"/>
      <c r="C10" s="169">
        <f>IF(D9="","",IF(D9+1&gt;'Date Info'!$D$21,"",D9+1))</f>
        <v>45839</v>
      </c>
      <c r="D10" s="172">
        <f>IFERROR(IF(C10="","",IF(EOMONTH(C10,0)&gt;'Date Info'!$D$21,'Date Info'!$D$21,EOMONTH(C10,0))),"")</f>
        <v>45869</v>
      </c>
      <c r="E10" s="173">
        <f>IF($D10="","",IFERROR(SUMIFS(Expenses!$E:$E,Expenses!$B:$B,"&gt;="&amp;$C10,Expenses!$B:$B,"&lt;="&amp;$D10),"na"))</f>
        <v>0</v>
      </c>
      <c r="F10" s="173">
        <f>IF($D10="","",IFERROR(SUMIFS(Income!$D:$D,Income!$B:$B,"&gt;="&amp;$C10,Income!$B:$B,"&lt;="&amp;$D10),"na"))</f>
        <v>0</v>
      </c>
      <c r="G10" s="173">
        <f t="shared" si="0"/>
        <v>0</v>
      </c>
      <c r="H10" s="174" t="str">
        <f t="shared" si="1"/>
        <v>na</v>
      </c>
      <c r="I10" s="174" t="str">
        <f t="shared" si="2"/>
        <v>na</v>
      </c>
      <c r="J10" s="173">
        <f t="shared" ref="J10:L10" si="8">IF(E10="","",J$5)</f>
        <v>38</v>
      </c>
      <c r="K10" s="173">
        <f t="shared" si="8"/>
        <v>300</v>
      </c>
      <c r="L10" s="173">
        <f t="shared" si="8"/>
        <v>262</v>
      </c>
      <c r="M10" s="173">
        <f>IF($D10="","",'Total &amp; Budget Targets'!$G$44)</f>
        <v>0</v>
      </c>
      <c r="N10" s="173">
        <f>IF($D10="","",'Total &amp; Budget Targets'!$G$63)</f>
        <v>0</v>
      </c>
      <c r="O10" s="173">
        <f>IF($D10="","",'Total &amp; Budget Targets'!$G$69)</f>
        <v>0</v>
      </c>
    </row>
    <row r="11" spans="1:15" ht="15.75" customHeight="1" x14ac:dyDescent="0.2">
      <c r="A11" s="165">
        <f t="shared" si="3"/>
        <v>7</v>
      </c>
      <c r="B11" s="172"/>
      <c r="C11" s="169">
        <f>IF(D10="","",IF(D10+1&gt;'Date Info'!$D$21,"",D10+1))</f>
        <v>45870</v>
      </c>
      <c r="D11" s="172">
        <f>IFERROR(IF(C11="","",IF(EOMONTH(C11,0)&gt;'Date Info'!$D$21,'Date Info'!$D$21,EOMONTH(C11,0))),"")</f>
        <v>45900</v>
      </c>
      <c r="E11" s="173">
        <f>IF($D11="","",IFERROR(SUMIFS(Expenses!$E:$E,Expenses!$B:$B,"&gt;="&amp;$C11,Expenses!$B:$B,"&lt;="&amp;$D11),"na"))</f>
        <v>0</v>
      </c>
      <c r="F11" s="173">
        <f>IF($D11="","",IFERROR(SUMIFS(Income!$D:$D,Income!$B:$B,"&gt;="&amp;$C11,Income!$B:$B,"&lt;="&amp;$D11),"na"))</f>
        <v>0</v>
      </c>
      <c r="G11" s="173">
        <f t="shared" si="0"/>
        <v>0</v>
      </c>
      <c r="H11" s="174" t="str">
        <f t="shared" si="1"/>
        <v>na</v>
      </c>
      <c r="I11" s="174" t="str">
        <f t="shared" si="2"/>
        <v>na</v>
      </c>
      <c r="J11" s="173">
        <f t="shared" ref="J11:L11" si="9">IF(E11="","",J$5)</f>
        <v>38</v>
      </c>
      <c r="K11" s="173">
        <f t="shared" si="9"/>
        <v>300</v>
      </c>
      <c r="L11" s="173">
        <f t="shared" si="9"/>
        <v>262</v>
      </c>
      <c r="M11" s="173">
        <f>IF($D11="","",'Total &amp; Budget Targets'!$G$44)</f>
        <v>0</v>
      </c>
      <c r="N11" s="173">
        <f>IF($D11="","",'Total &amp; Budget Targets'!$G$63)</f>
        <v>0</v>
      </c>
      <c r="O11" s="173">
        <f>IF($D11="","",'Total &amp; Budget Targets'!$G$69)</f>
        <v>0</v>
      </c>
    </row>
    <row r="12" spans="1:15" ht="15.75" customHeight="1" x14ac:dyDescent="0.2">
      <c r="A12" s="165">
        <f t="shared" si="3"/>
        <v>8</v>
      </c>
      <c r="B12" s="172"/>
      <c r="C12" s="169">
        <f>IF(D11="","",IF(D11+1&gt;'Date Info'!$D$21,"",D11+1))</f>
        <v>45901</v>
      </c>
      <c r="D12" s="172">
        <f>IFERROR(IF(C12="","",IF(EOMONTH(C12,0)&gt;'Date Info'!$D$21,'Date Info'!$D$21,EOMONTH(C12,0))),"")</f>
        <v>45930</v>
      </c>
      <c r="E12" s="173">
        <f>IF($D12="","",IFERROR(SUMIFS(Expenses!$E:$E,Expenses!$B:$B,"&gt;="&amp;$C12,Expenses!$B:$B,"&lt;="&amp;$D12),"na"))</f>
        <v>0</v>
      </c>
      <c r="F12" s="173">
        <f>IF($D12="","",IFERROR(SUMIFS(Income!$D:$D,Income!$B:$B,"&gt;="&amp;$C12,Income!$B:$B,"&lt;="&amp;$D12),"na"))</f>
        <v>0</v>
      </c>
      <c r="G12" s="173">
        <f t="shared" si="0"/>
        <v>0</v>
      </c>
      <c r="H12" s="174" t="str">
        <f t="shared" si="1"/>
        <v>na</v>
      </c>
      <c r="I12" s="174" t="str">
        <f t="shared" si="2"/>
        <v>na</v>
      </c>
      <c r="J12" s="173">
        <f t="shared" ref="J12:L12" si="10">IF(E12="","",J$5)</f>
        <v>38</v>
      </c>
      <c r="K12" s="173">
        <f t="shared" si="10"/>
        <v>300</v>
      </c>
      <c r="L12" s="173">
        <f t="shared" si="10"/>
        <v>262</v>
      </c>
      <c r="M12" s="173">
        <f>IF($D12="","",'Total &amp; Budget Targets'!$G$44)</f>
        <v>0</v>
      </c>
      <c r="N12" s="173">
        <f>IF($D12="","",'Total &amp; Budget Targets'!$G$63)</f>
        <v>0</v>
      </c>
      <c r="O12" s="173">
        <f>IF($D12="","",'Total &amp; Budget Targets'!$G$69)</f>
        <v>0</v>
      </c>
    </row>
    <row r="13" spans="1:15" ht="15.75" customHeight="1" x14ac:dyDescent="0.2">
      <c r="A13" s="165">
        <f t="shared" si="3"/>
        <v>9</v>
      </c>
      <c r="B13" s="172"/>
      <c r="C13" s="169">
        <f>IF(D12="","",IF(D12+1&gt;'Date Info'!$D$21,"",D12+1))</f>
        <v>45931</v>
      </c>
      <c r="D13" s="172">
        <f>IFERROR(IF(C13="","",IF(EOMONTH(C13,0)&gt;'Date Info'!$D$21,'Date Info'!$D$21,EOMONTH(C13,0))),"")</f>
        <v>45961</v>
      </c>
      <c r="E13" s="173">
        <f>IF($D13="","",IFERROR(SUMIFS(Expenses!$E:$E,Expenses!$B:$B,"&gt;="&amp;$C13,Expenses!$B:$B,"&lt;="&amp;$D13),"na"))</f>
        <v>0</v>
      </c>
      <c r="F13" s="173">
        <f>IF($D13="","",IFERROR(SUMIFS(Income!$D:$D,Income!$B:$B,"&gt;="&amp;$C13,Income!$B:$B,"&lt;="&amp;$D13),"na"))</f>
        <v>0</v>
      </c>
      <c r="G13" s="173">
        <f t="shared" si="0"/>
        <v>0</v>
      </c>
      <c r="H13" s="174" t="str">
        <f t="shared" si="1"/>
        <v>na</v>
      </c>
      <c r="I13" s="174" t="str">
        <f t="shared" si="2"/>
        <v>na</v>
      </c>
      <c r="J13" s="173">
        <f t="shared" ref="J13:L13" si="11">IF(E13="","",J$5)</f>
        <v>38</v>
      </c>
      <c r="K13" s="173">
        <f t="shared" si="11"/>
        <v>300</v>
      </c>
      <c r="L13" s="173">
        <f t="shared" si="11"/>
        <v>262</v>
      </c>
      <c r="M13" s="173">
        <f>IF($D13="","",'Total &amp; Budget Targets'!$G$44)</f>
        <v>0</v>
      </c>
      <c r="N13" s="173">
        <f>IF($D13="","",'Total &amp; Budget Targets'!$G$63)</f>
        <v>0</v>
      </c>
      <c r="O13" s="173">
        <f>IF($D13="","",'Total &amp; Budget Targets'!$G$69)</f>
        <v>0</v>
      </c>
    </row>
    <row r="14" spans="1:15" ht="15.75" customHeight="1" x14ac:dyDescent="0.2">
      <c r="A14" s="165">
        <f t="shared" si="3"/>
        <v>10</v>
      </c>
      <c r="B14" s="172"/>
      <c r="C14" s="169">
        <f>IF(D13="","",IF(D13+1&gt;'Date Info'!$D$21,"",D13+1))</f>
        <v>45962</v>
      </c>
      <c r="D14" s="172">
        <f>IFERROR(IF(C14="","",IF(EOMONTH(C14,0)&gt;'Date Info'!$D$21,'Date Info'!$D$21,EOMONTH(C14,0))),"")</f>
        <v>45991</v>
      </c>
      <c r="E14" s="173">
        <f>IF($D14="","",IFERROR(SUMIFS(Expenses!$E:$E,Expenses!$B:$B,"&gt;="&amp;$C14,Expenses!$B:$B,"&lt;="&amp;$D14),"na"))</f>
        <v>0</v>
      </c>
      <c r="F14" s="173">
        <f>IF($D14="","",IFERROR(SUMIFS(Income!$D:$D,Income!$B:$B,"&gt;="&amp;$C14,Income!$B:$B,"&lt;="&amp;$D14),"na"))</f>
        <v>0</v>
      </c>
      <c r="G14" s="173">
        <f t="shared" si="0"/>
        <v>0</v>
      </c>
      <c r="H14" s="174" t="str">
        <f t="shared" si="1"/>
        <v>na</v>
      </c>
      <c r="I14" s="174" t="str">
        <f t="shared" si="2"/>
        <v>na</v>
      </c>
      <c r="J14" s="173">
        <f t="shared" ref="J14:L14" si="12">IF(E14="","",J$5)</f>
        <v>38</v>
      </c>
      <c r="K14" s="173">
        <f t="shared" si="12"/>
        <v>300</v>
      </c>
      <c r="L14" s="173">
        <f t="shared" si="12"/>
        <v>262</v>
      </c>
      <c r="M14" s="173">
        <f>IF($D14="","",'Total &amp; Budget Targets'!$G$44)</f>
        <v>0</v>
      </c>
      <c r="N14" s="173">
        <f>IF($D14="","",'Total &amp; Budget Targets'!$G$63)</f>
        <v>0</v>
      </c>
      <c r="O14" s="173">
        <f>IF($D14="","",'Total &amp; Budget Targets'!$G$69)</f>
        <v>0</v>
      </c>
    </row>
    <row r="15" spans="1:15" ht="15.75" customHeight="1" x14ac:dyDescent="0.2">
      <c r="A15" s="165">
        <f t="shared" si="3"/>
        <v>11</v>
      </c>
      <c r="B15" s="172"/>
      <c r="C15" s="169">
        <f>IF(D14="","",IF(D14+1&gt;'Date Info'!$D$21,"",D14+1))</f>
        <v>45992</v>
      </c>
      <c r="D15" s="172">
        <f>IFERROR(IF(C15="","",IF(EOMONTH(C15,0)&gt;'Date Info'!$D$21,'Date Info'!$D$21,EOMONTH(C15,0))),"")</f>
        <v>46022</v>
      </c>
      <c r="E15" s="173">
        <f>IF($D15="","",IFERROR(SUMIFS(Expenses!$E:$E,Expenses!$B:$B,"&gt;="&amp;$C15,Expenses!$B:$B,"&lt;="&amp;$D15),"na"))</f>
        <v>0</v>
      </c>
      <c r="F15" s="173">
        <f>IF($D15="","",IFERROR(SUMIFS(Income!$D:$D,Income!$B:$B,"&gt;="&amp;$C15,Income!$B:$B,"&lt;="&amp;$D15),"na"))</f>
        <v>0</v>
      </c>
      <c r="G15" s="173">
        <f t="shared" si="0"/>
        <v>0</v>
      </c>
      <c r="H15" s="174" t="str">
        <f t="shared" si="1"/>
        <v>na</v>
      </c>
      <c r="I15" s="174" t="str">
        <f t="shared" si="2"/>
        <v>na</v>
      </c>
      <c r="J15" s="173">
        <f t="shared" ref="J15:L15" si="13">IF(E15="","",J$5)</f>
        <v>38</v>
      </c>
      <c r="K15" s="173">
        <f t="shared" si="13"/>
        <v>300</v>
      </c>
      <c r="L15" s="173">
        <f t="shared" si="13"/>
        <v>262</v>
      </c>
      <c r="M15" s="173">
        <f>IF($D15="","",'Total &amp; Budget Targets'!$G$44)</f>
        <v>0</v>
      </c>
      <c r="N15" s="173">
        <f>IF($D15="","",'Total &amp; Budget Targets'!$G$63)</f>
        <v>0</v>
      </c>
      <c r="O15" s="173">
        <f>IF($D15="","",'Total &amp; Budget Targets'!$G$69)</f>
        <v>0</v>
      </c>
    </row>
    <row r="16" spans="1:15" ht="15.75" customHeight="1" x14ac:dyDescent="0.2">
      <c r="A16" s="165">
        <f t="shared" si="3"/>
        <v>12</v>
      </c>
      <c r="B16" s="172"/>
      <c r="C16" s="169">
        <f>IF(D15="","",IF(D15+1&gt;'Date Info'!$D$21,"",D15+1))</f>
        <v>46023</v>
      </c>
      <c r="D16" s="172">
        <f>IFERROR(IF(C16="","",IF(EOMONTH(C16,0)&gt;'Date Info'!$D$21,'Date Info'!$D$21,EOMONTH(C16,0))),"")</f>
        <v>46053</v>
      </c>
      <c r="E16" s="173">
        <f>IF($D16="","",IFERROR(SUMIFS(Expenses!$E:$E,Expenses!$B:$B,"&gt;="&amp;$C16,Expenses!$B:$B,"&lt;="&amp;$D16),"na"))</f>
        <v>0</v>
      </c>
      <c r="F16" s="173">
        <f>IF($D16="","",IFERROR(SUMIFS(Income!$D:$D,Income!$B:$B,"&gt;="&amp;$C16,Income!$B:$B,"&lt;="&amp;$D16),"na"))</f>
        <v>0</v>
      </c>
      <c r="G16" s="173">
        <f t="shared" si="0"/>
        <v>0</v>
      </c>
      <c r="H16" s="174" t="str">
        <f t="shared" si="1"/>
        <v>na</v>
      </c>
      <c r="I16" s="174" t="str">
        <f t="shared" si="2"/>
        <v>na</v>
      </c>
      <c r="J16" s="173">
        <f t="shared" ref="J16:L16" si="14">IF(E16="","",J$5)</f>
        <v>38</v>
      </c>
      <c r="K16" s="173">
        <f t="shared" si="14"/>
        <v>300</v>
      </c>
      <c r="L16" s="173">
        <f t="shared" si="14"/>
        <v>262</v>
      </c>
      <c r="M16" s="173">
        <f>IF($D16="","",'Total &amp; Budget Targets'!$G$44)</f>
        <v>0</v>
      </c>
      <c r="N16" s="173">
        <f>IF($D16="","",'Total &amp; Budget Targets'!$G$63)</f>
        <v>0</v>
      </c>
      <c r="O16" s="173">
        <f>IF($D16="","",'Total &amp; Budget Targets'!$G$69)</f>
        <v>0</v>
      </c>
    </row>
    <row r="17" spans="1:15" ht="15.75" customHeight="1" x14ac:dyDescent="0.2">
      <c r="A17" s="165">
        <f t="shared" si="3"/>
        <v>13</v>
      </c>
      <c r="B17" s="172"/>
      <c r="C17" s="169">
        <f>IF(D16="","",IF(D16+1&gt;'Date Info'!$D$21,"",D16+1))</f>
        <v>46054</v>
      </c>
      <c r="D17" s="172">
        <f>IFERROR(IF(C17="","",IF(EOMONTH(C17,0)&gt;'Date Info'!$D$21,'Date Info'!$D$21,EOMONTH(C17,0))),"")</f>
        <v>46081</v>
      </c>
      <c r="E17" s="173">
        <f>IF($D17="","",IFERROR(SUMIFS(Expenses!$E:$E,Expenses!$B:$B,"&gt;="&amp;$C17,Expenses!$B:$B,"&lt;="&amp;$D17),"na"))</f>
        <v>0</v>
      </c>
      <c r="F17" s="173">
        <f>IF($D17="","",IFERROR(SUMIFS(Income!$D:$D,Income!$B:$B,"&gt;="&amp;$C17,Income!$B:$B,"&lt;="&amp;$D17),"na"))</f>
        <v>0</v>
      </c>
      <c r="G17" s="173">
        <f t="shared" si="0"/>
        <v>0</v>
      </c>
      <c r="H17" s="174" t="str">
        <f t="shared" si="1"/>
        <v>na</v>
      </c>
      <c r="I17" s="174" t="str">
        <f t="shared" si="2"/>
        <v>na</v>
      </c>
      <c r="J17" s="173">
        <f t="shared" ref="J17:L17" si="15">IF(E17="","",J$5)</f>
        <v>38</v>
      </c>
      <c r="K17" s="173">
        <f t="shared" si="15"/>
        <v>300</v>
      </c>
      <c r="L17" s="173">
        <f t="shared" si="15"/>
        <v>262</v>
      </c>
      <c r="M17" s="173">
        <f>IF($D17="","",'Total &amp; Budget Targets'!$G$44)</f>
        <v>0</v>
      </c>
      <c r="N17" s="173">
        <f>IF($D17="","",'Total &amp; Budget Targets'!$G$63)</f>
        <v>0</v>
      </c>
      <c r="O17" s="173">
        <f>IF($D17="","",'Total &amp; Budget Targets'!$G$69)</f>
        <v>0</v>
      </c>
    </row>
    <row r="18" spans="1:15" ht="15.75" customHeight="1" x14ac:dyDescent="0.2">
      <c r="A18" s="165">
        <f t="shared" si="3"/>
        <v>14</v>
      </c>
      <c r="B18" s="172"/>
      <c r="C18" s="169">
        <f>IF(D17="","",IF(D17+1&gt;'Date Info'!$D$21,"",D17+1))</f>
        <v>46082</v>
      </c>
      <c r="D18" s="172">
        <f>IFERROR(IF(C18="","",IF(EOMONTH(C18,0)&gt;'Date Info'!$D$21,'Date Info'!$D$21,EOMONTH(C18,0))),"")</f>
        <v>46112</v>
      </c>
      <c r="E18" s="173">
        <f>IF($D18="","",IFERROR(SUMIFS(Expenses!$E:$E,Expenses!$B:$B,"&gt;="&amp;$C18,Expenses!$B:$B,"&lt;="&amp;$D18),"na"))</f>
        <v>0</v>
      </c>
      <c r="F18" s="173">
        <f>IF($D18="","",IFERROR(SUMIFS(Income!$D:$D,Income!$B:$B,"&gt;="&amp;$C18,Income!$B:$B,"&lt;="&amp;$D18),"na"))</f>
        <v>0</v>
      </c>
      <c r="G18" s="173">
        <f t="shared" si="0"/>
        <v>0</v>
      </c>
      <c r="H18" s="174" t="str">
        <f t="shared" si="1"/>
        <v>na</v>
      </c>
      <c r="I18" s="174" t="str">
        <f t="shared" si="2"/>
        <v>na</v>
      </c>
      <c r="J18" s="173">
        <f t="shared" ref="J18:L18" si="16">IF(E18="","",J$5)</f>
        <v>38</v>
      </c>
      <c r="K18" s="173">
        <f t="shared" si="16"/>
        <v>300</v>
      </c>
      <c r="L18" s="173">
        <f t="shared" si="16"/>
        <v>262</v>
      </c>
      <c r="M18" s="173">
        <f>IF($D18="","",'Total &amp; Budget Targets'!$G$44)</f>
        <v>0</v>
      </c>
      <c r="N18" s="173">
        <f>IF($D18="","",'Total &amp; Budget Targets'!$G$63)</f>
        <v>0</v>
      </c>
      <c r="O18" s="173">
        <f>IF($D18="","",'Total &amp; Budget Targets'!$G$69)</f>
        <v>0</v>
      </c>
    </row>
    <row r="19" spans="1:15" ht="15.75" customHeight="1" x14ac:dyDescent="0.2">
      <c r="A19" s="165">
        <f t="shared" si="3"/>
        <v>15</v>
      </c>
      <c r="B19" s="172"/>
      <c r="C19" s="169">
        <f>IF(D18="","",IF(D18+1&gt;'Date Info'!$D$21,"",D18+1))</f>
        <v>46113</v>
      </c>
      <c r="D19" s="172">
        <f>IFERROR(IF(C19="","",IF(EOMONTH(C19,0)&gt;'Date Info'!$D$21,'Date Info'!$D$21,EOMONTH(C19,0))),"")</f>
        <v>46142</v>
      </c>
      <c r="E19" s="173">
        <f>IF($D19="","",IFERROR(SUMIFS(Expenses!$E:$E,Expenses!$B:$B,"&gt;="&amp;$C19,Expenses!$B:$B,"&lt;="&amp;$D19),"na"))</f>
        <v>0</v>
      </c>
      <c r="F19" s="173">
        <f>IF($D19="","",IFERROR(SUMIFS(Income!$D:$D,Income!$B:$B,"&gt;="&amp;$C19,Income!$B:$B,"&lt;="&amp;$D19),"na"))</f>
        <v>0</v>
      </c>
      <c r="G19" s="173">
        <f t="shared" si="0"/>
        <v>0</v>
      </c>
      <c r="H19" s="174" t="str">
        <f t="shared" si="1"/>
        <v>na</v>
      </c>
      <c r="I19" s="174" t="str">
        <f t="shared" si="2"/>
        <v>na</v>
      </c>
      <c r="J19" s="173">
        <f t="shared" ref="J19:L19" si="17">IF(E19="","",J$5)</f>
        <v>38</v>
      </c>
      <c r="K19" s="173">
        <f t="shared" si="17"/>
        <v>300</v>
      </c>
      <c r="L19" s="173">
        <f t="shared" si="17"/>
        <v>262</v>
      </c>
      <c r="M19" s="173">
        <f>IF($D19="","",'Total &amp; Budget Targets'!$G$44)</f>
        <v>0</v>
      </c>
      <c r="N19" s="173">
        <f>IF($D19="","",'Total &amp; Budget Targets'!$G$63)</f>
        <v>0</v>
      </c>
      <c r="O19" s="173">
        <f>IF($D19="","",'Total &amp; Budget Targets'!$G$69)</f>
        <v>0</v>
      </c>
    </row>
    <row r="20" spans="1:15" ht="15.75" customHeight="1" x14ac:dyDescent="0.2">
      <c r="A20" s="165">
        <f t="shared" si="3"/>
        <v>16</v>
      </c>
      <c r="B20" s="172"/>
      <c r="C20" s="169">
        <f>IF(D19="","",IF(D19+1&gt;'Date Info'!$D$21,"",D19+1))</f>
        <v>46143</v>
      </c>
      <c r="D20" s="172">
        <f>IFERROR(IF(C20="","",IF(EOMONTH(C20,0)&gt;'Date Info'!$D$21,'Date Info'!$D$21,EOMONTH(C20,0))),"")</f>
        <v>46173</v>
      </c>
      <c r="E20" s="173">
        <f>IF($D20="","",IFERROR(SUMIFS(Expenses!$E:$E,Expenses!$B:$B,"&gt;="&amp;$C20,Expenses!$B:$B,"&lt;="&amp;$D20),"na"))</f>
        <v>0</v>
      </c>
      <c r="F20" s="173">
        <f>IF($D20="","",IFERROR(SUMIFS(Income!$D:$D,Income!$B:$B,"&gt;="&amp;$C20,Income!$B:$B,"&lt;="&amp;$D20),"na"))</f>
        <v>0</v>
      </c>
      <c r="G20" s="173">
        <f t="shared" si="0"/>
        <v>0</v>
      </c>
      <c r="H20" s="174" t="str">
        <f t="shared" si="1"/>
        <v>na</v>
      </c>
      <c r="I20" s="174" t="str">
        <f t="shared" si="2"/>
        <v>na</v>
      </c>
      <c r="J20" s="173">
        <f t="shared" ref="J20:L20" si="18">IF(E20="","",J$5)</f>
        <v>38</v>
      </c>
      <c r="K20" s="173">
        <f t="shared" si="18"/>
        <v>300</v>
      </c>
      <c r="L20" s="173">
        <f t="shared" si="18"/>
        <v>262</v>
      </c>
      <c r="M20" s="173">
        <f>IF($D20="","",'Total &amp; Budget Targets'!$G$44)</f>
        <v>0</v>
      </c>
      <c r="N20" s="173">
        <f>IF($D20="","",'Total &amp; Budget Targets'!$G$63)</f>
        <v>0</v>
      </c>
      <c r="O20" s="173">
        <f>IF($D20="","",'Total &amp; Budget Targets'!$G$69)</f>
        <v>0</v>
      </c>
    </row>
    <row r="21" spans="1:15" ht="15.75" customHeight="1" x14ac:dyDescent="0.2">
      <c r="A21" s="165">
        <f t="shared" si="3"/>
        <v>17</v>
      </c>
      <c r="B21" s="172"/>
      <c r="C21" s="169">
        <f>IF(D20="","",IF(D20+1&gt;'Date Info'!$D$21,"",D20+1))</f>
        <v>46174</v>
      </c>
      <c r="D21" s="172">
        <f>IFERROR(IF(C21="","",IF(EOMONTH(C21,0)&gt;'Date Info'!$D$21,'Date Info'!$D$21,EOMONTH(C21,0))),"")</f>
        <v>46203</v>
      </c>
      <c r="E21" s="173">
        <f>IF($D21="","",IFERROR(SUMIFS(Expenses!$E:$E,Expenses!$B:$B,"&gt;="&amp;$C21,Expenses!$B:$B,"&lt;="&amp;$D21),"na"))</f>
        <v>0</v>
      </c>
      <c r="F21" s="173">
        <f>IF($D21="","",IFERROR(SUMIFS(Income!$D:$D,Income!$B:$B,"&gt;="&amp;$C21,Income!$B:$B,"&lt;="&amp;$D21),"na"))</f>
        <v>0</v>
      </c>
      <c r="G21" s="173">
        <f t="shared" si="0"/>
        <v>0</v>
      </c>
      <c r="H21" s="174" t="str">
        <f t="shared" si="1"/>
        <v>na</v>
      </c>
      <c r="I21" s="174" t="str">
        <f t="shared" si="2"/>
        <v>na</v>
      </c>
      <c r="J21" s="173">
        <f t="shared" ref="J21:L21" si="19">IF(E21="","",J$5)</f>
        <v>38</v>
      </c>
      <c r="K21" s="173">
        <f t="shared" si="19"/>
        <v>300</v>
      </c>
      <c r="L21" s="173">
        <f t="shared" si="19"/>
        <v>262</v>
      </c>
      <c r="M21" s="173">
        <f>IF($D21="","",'Total &amp; Budget Targets'!$G$44)</f>
        <v>0</v>
      </c>
      <c r="N21" s="173">
        <f>IF($D21="","",'Total &amp; Budget Targets'!$G$63)</f>
        <v>0</v>
      </c>
      <c r="O21" s="173">
        <f>IF($D21="","",'Total &amp; Budget Targets'!$G$69)</f>
        <v>0</v>
      </c>
    </row>
    <row r="22" spans="1:15" ht="15.75" customHeight="1" x14ac:dyDescent="0.2">
      <c r="A22" s="165">
        <f t="shared" si="3"/>
        <v>18</v>
      </c>
      <c r="B22" s="172"/>
      <c r="C22" s="169">
        <f>IF(D21="","",IF(D21+1&gt;'Date Info'!$D$21,"",D21+1))</f>
        <v>46204</v>
      </c>
      <c r="D22" s="172">
        <f>IFERROR(IF(C22="","",IF(EOMONTH(C22,0)&gt;'Date Info'!$D$21,'Date Info'!$D$21,EOMONTH(C22,0))),"")</f>
        <v>46234</v>
      </c>
      <c r="E22" s="173">
        <f>IF($D22="","",IFERROR(SUMIFS(Expenses!$E:$E,Expenses!$B:$B,"&gt;="&amp;$C22,Expenses!$B:$B,"&lt;="&amp;$D22),"na"))</f>
        <v>0</v>
      </c>
      <c r="F22" s="173">
        <f>IF($D22="","",IFERROR(SUMIFS(Income!$D:$D,Income!$B:$B,"&gt;="&amp;$C22,Income!$B:$B,"&lt;="&amp;$D22),"na"))</f>
        <v>0</v>
      </c>
      <c r="G22" s="173">
        <f t="shared" si="0"/>
        <v>0</v>
      </c>
      <c r="H22" s="174" t="str">
        <f t="shared" si="1"/>
        <v>na</v>
      </c>
      <c r="I22" s="174" t="str">
        <f t="shared" si="2"/>
        <v>na</v>
      </c>
      <c r="J22" s="173">
        <f t="shared" ref="J22:L22" si="20">IF(E22="","",J$5)</f>
        <v>38</v>
      </c>
      <c r="K22" s="173">
        <f t="shared" si="20"/>
        <v>300</v>
      </c>
      <c r="L22" s="173">
        <f t="shared" si="20"/>
        <v>262</v>
      </c>
      <c r="M22" s="173">
        <f>IF($D22="","",'Total &amp; Budget Targets'!$G$44)</f>
        <v>0</v>
      </c>
      <c r="N22" s="173">
        <f>IF($D22="","",'Total &amp; Budget Targets'!$G$63)</f>
        <v>0</v>
      </c>
      <c r="O22" s="173">
        <f>IF($D22="","",'Total &amp; Budget Targets'!$G$69)</f>
        <v>0</v>
      </c>
    </row>
    <row r="23" spans="1:15" ht="15.75" customHeight="1" x14ac:dyDescent="0.2">
      <c r="A23" s="165">
        <f t="shared" si="3"/>
        <v>19</v>
      </c>
      <c r="B23" s="172"/>
      <c r="C23" s="169">
        <f>IF(D22="","",IF(D22+1&gt;'Date Info'!$D$21,"",D22+1))</f>
        <v>46235</v>
      </c>
      <c r="D23" s="172">
        <f>IFERROR(IF(C23="","",IF(EOMONTH(C23,0)&gt;'Date Info'!$D$21,'Date Info'!$D$21,EOMONTH(C23,0))),"")</f>
        <v>46265</v>
      </c>
      <c r="E23" s="173">
        <f>IF($D23="","",IFERROR(SUMIFS(Expenses!$E:$E,Expenses!$B:$B,"&gt;="&amp;$C23,Expenses!$B:$B,"&lt;="&amp;$D23),"na"))</f>
        <v>0</v>
      </c>
      <c r="F23" s="173">
        <f>IF($D23="","",IFERROR(SUMIFS(Income!$D:$D,Income!$B:$B,"&gt;="&amp;$C23,Income!$B:$B,"&lt;="&amp;$D23),"na"))</f>
        <v>0</v>
      </c>
      <c r="G23" s="173">
        <f t="shared" si="0"/>
        <v>0</v>
      </c>
      <c r="H23" s="174" t="str">
        <f t="shared" si="1"/>
        <v>na</v>
      </c>
      <c r="I23" s="174" t="str">
        <f t="shared" si="2"/>
        <v>na</v>
      </c>
      <c r="J23" s="173">
        <f t="shared" ref="J23:L23" si="21">IF(E23="","",J$5)</f>
        <v>38</v>
      </c>
      <c r="K23" s="173">
        <f t="shared" si="21"/>
        <v>300</v>
      </c>
      <c r="L23" s="173">
        <f t="shared" si="21"/>
        <v>262</v>
      </c>
      <c r="M23" s="173">
        <f>IF($D23="","",'Total &amp; Budget Targets'!$G$44)</f>
        <v>0</v>
      </c>
      <c r="N23" s="173">
        <f>IF($D23="","",'Total &amp; Budget Targets'!$G$63)</f>
        <v>0</v>
      </c>
      <c r="O23" s="173">
        <f>IF($D23="","",'Total &amp; Budget Targets'!$G$69)</f>
        <v>0</v>
      </c>
    </row>
    <row r="24" spans="1:15" ht="15.75" customHeight="1" x14ac:dyDescent="0.2">
      <c r="A24" s="165">
        <f t="shared" si="3"/>
        <v>20</v>
      </c>
      <c r="B24" s="172"/>
      <c r="C24" s="169">
        <f>IF(D23="","",IF(D23+1&gt;'Date Info'!$D$21,"",D23+1))</f>
        <v>46266</v>
      </c>
      <c r="D24" s="172">
        <f>IFERROR(IF(C24="","",IF(EOMONTH(C24,0)&gt;'Date Info'!$D$21,'Date Info'!$D$21,EOMONTH(C24,0))),"")</f>
        <v>46295</v>
      </c>
      <c r="E24" s="173">
        <f>IF($D24="","",IFERROR(SUMIFS(Expenses!$E:$E,Expenses!$B:$B,"&gt;="&amp;$C24,Expenses!$B:$B,"&lt;="&amp;$D24),"na"))</f>
        <v>0</v>
      </c>
      <c r="F24" s="173">
        <f>IF($D24="","",IFERROR(SUMIFS(Income!$D:$D,Income!$B:$B,"&gt;="&amp;$C24,Income!$B:$B,"&lt;="&amp;$D24),"na"))</f>
        <v>0</v>
      </c>
      <c r="G24" s="173">
        <f t="shared" si="0"/>
        <v>0</v>
      </c>
      <c r="H24" s="174" t="str">
        <f t="shared" si="1"/>
        <v>na</v>
      </c>
      <c r="I24" s="174" t="str">
        <f t="shared" si="2"/>
        <v>na</v>
      </c>
      <c r="J24" s="173">
        <f t="shared" ref="J24:L24" si="22">IF(E24="","",J$5)</f>
        <v>38</v>
      </c>
      <c r="K24" s="173">
        <f t="shared" si="22"/>
        <v>300</v>
      </c>
      <c r="L24" s="173">
        <f t="shared" si="22"/>
        <v>262</v>
      </c>
      <c r="M24" s="173">
        <f>IF($D24="","",'Total &amp; Budget Targets'!$G$44)</f>
        <v>0</v>
      </c>
      <c r="N24" s="173">
        <f>IF($D24="","",'Total &amp; Budget Targets'!$G$63)</f>
        <v>0</v>
      </c>
      <c r="O24" s="173">
        <f>IF($D24="","",'Total &amp; Budget Targets'!$G$69)</f>
        <v>0</v>
      </c>
    </row>
    <row r="25" spans="1:15" ht="15.75" customHeight="1" x14ac:dyDescent="0.2">
      <c r="A25" s="165">
        <f t="shared" si="3"/>
        <v>21</v>
      </c>
      <c r="B25" s="172"/>
      <c r="C25" s="169">
        <f>IF(D24="","",IF(D24+1&gt;'Date Info'!$D$21,"",D24+1))</f>
        <v>46296</v>
      </c>
      <c r="D25" s="172">
        <f>IFERROR(IF(C25="","",IF(EOMONTH(C25,0)&gt;'Date Info'!$D$21,'Date Info'!$D$21,EOMONTH(C25,0))),"")</f>
        <v>46326</v>
      </c>
      <c r="E25" s="173">
        <f>IF($D25="","",IFERROR(SUMIFS(Expenses!$E:$E,Expenses!$B:$B,"&gt;="&amp;$C25,Expenses!$B:$B,"&lt;="&amp;$D25),"na"))</f>
        <v>0</v>
      </c>
      <c r="F25" s="173">
        <f>IF($D25="","",IFERROR(SUMIFS(Income!$D:$D,Income!$B:$B,"&gt;="&amp;$C25,Income!$B:$B,"&lt;="&amp;$D25),"na"))</f>
        <v>0</v>
      </c>
      <c r="G25" s="173">
        <f t="shared" si="0"/>
        <v>0</v>
      </c>
      <c r="H25" s="174" t="str">
        <f t="shared" si="1"/>
        <v>na</v>
      </c>
      <c r="I25" s="174" t="str">
        <f t="shared" si="2"/>
        <v>na</v>
      </c>
      <c r="J25" s="173">
        <f t="shared" ref="J25:L25" si="23">IF(E25="","",J$5)</f>
        <v>38</v>
      </c>
      <c r="K25" s="173">
        <f t="shared" si="23"/>
        <v>300</v>
      </c>
      <c r="L25" s="173">
        <f t="shared" si="23"/>
        <v>262</v>
      </c>
      <c r="M25" s="173">
        <f>IF($D25="","",'Total &amp; Budget Targets'!$G$44)</f>
        <v>0</v>
      </c>
      <c r="N25" s="173">
        <f>IF($D25="","",'Total &amp; Budget Targets'!$G$63)</f>
        <v>0</v>
      </c>
      <c r="O25" s="173">
        <f>IF($D25="","",'Total &amp; Budget Targets'!$G$69)</f>
        <v>0</v>
      </c>
    </row>
    <row r="26" spans="1:15" ht="15.75" customHeight="1" x14ac:dyDescent="0.2">
      <c r="A26" s="165">
        <f t="shared" si="3"/>
        <v>22</v>
      </c>
      <c r="B26" s="172"/>
      <c r="C26" s="169">
        <f>IF(D25="","",IF(D25+1&gt;'Date Info'!$D$21,"",D25+1))</f>
        <v>46327</v>
      </c>
      <c r="D26" s="172">
        <f>IFERROR(IF(C26="","",IF(EOMONTH(C26,0)&gt;'Date Info'!$D$21,'Date Info'!$D$21,EOMONTH(C26,0))),"")</f>
        <v>46356</v>
      </c>
      <c r="E26" s="173">
        <f>IF($D26="","",IFERROR(SUMIFS(Expenses!$E:$E,Expenses!$B:$B,"&gt;="&amp;$C26,Expenses!$B:$B,"&lt;="&amp;$D26),"na"))</f>
        <v>0</v>
      </c>
      <c r="F26" s="173">
        <f>IF($D26="","",IFERROR(SUMIFS(Income!$D:$D,Income!$B:$B,"&gt;="&amp;$C26,Income!$B:$B,"&lt;="&amp;$D26),"na"))</f>
        <v>0</v>
      </c>
      <c r="G26" s="173">
        <f t="shared" si="0"/>
        <v>0</v>
      </c>
      <c r="H26" s="174" t="str">
        <f t="shared" si="1"/>
        <v>na</v>
      </c>
      <c r="I26" s="174" t="str">
        <f t="shared" si="2"/>
        <v>na</v>
      </c>
      <c r="J26" s="173">
        <f t="shared" ref="J26:L26" si="24">IF(E26="","",J$5)</f>
        <v>38</v>
      </c>
      <c r="K26" s="173">
        <f t="shared" si="24"/>
        <v>300</v>
      </c>
      <c r="L26" s="173">
        <f t="shared" si="24"/>
        <v>262</v>
      </c>
      <c r="M26" s="173">
        <f>IF($D26="","",'Total &amp; Budget Targets'!$G$44)</f>
        <v>0</v>
      </c>
      <c r="N26" s="173">
        <f>IF($D26="","",'Total &amp; Budget Targets'!$G$63)</f>
        <v>0</v>
      </c>
      <c r="O26" s="173">
        <f>IF($D26="","",'Total &amp; Budget Targets'!$G$69)</f>
        <v>0</v>
      </c>
    </row>
    <row r="27" spans="1:15" ht="15.75" customHeight="1" x14ac:dyDescent="0.2">
      <c r="A27" s="165">
        <f t="shared" si="3"/>
        <v>23</v>
      </c>
      <c r="B27" s="172"/>
      <c r="C27" s="169">
        <f>IF(D26="","",IF(D26+1&gt;'Date Info'!$D$21,"",D26+1))</f>
        <v>46357</v>
      </c>
      <c r="D27" s="172">
        <f>IFERROR(IF(C27="","",IF(EOMONTH(C27,0)&gt;'Date Info'!$D$21,'Date Info'!$D$21,EOMONTH(C27,0))),"")</f>
        <v>46387</v>
      </c>
      <c r="E27" s="173">
        <f>IF($D27="","",IFERROR(SUMIFS(Expenses!$E:$E,Expenses!$B:$B,"&gt;="&amp;$C27,Expenses!$B:$B,"&lt;="&amp;$D27),"na"))</f>
        <v>0</v>
      </c>
      <c r="F27" s="173">
        <f>IF($D27="","",IFERROR(SUMIFS(Income!$D:$D,Income!$B:$B,"&gt;="&amp;$C27,Income!$B:$B,"&lt;="&amp;$D27),"na"))</f>
        <v>0</v>
      </c>
      <c r="G27" s="173">
        <f t="shared" si="0"/>
        <v>0</v>
      </c>
      <c r="H27" s="174" t="str">
        <f t="shared" si="1"/>
        <v>na</v>
      </c>
      <c r="I27" s="174" t="str">
        <f t="shared" si="2"/>
        <v>na</v>
      </c>
      <c r="J27" s="173">
        <f t="shared" ref="J27:L27" si="25">IF(E27="","",J$5)</f>
        <v>38</v>
      </c>
      <c r="K27" s="173">
        <f t="shared" si="25"/>
        <v>300</v>
      </c>
      <c r="L27" s="173">
        <f t="shared" si="25"/>
        <v>262</v>
      </c>
      <c r="M27" s="173">
        <f>IF($D27="","",'Total &amp; Budget Targets'!$G$44)</f>
        <v>0</v>
      </c>
      <c r="N27" s="173">
        <f>IF($D27="","",'Total &amp; Budget Targets'!$G$63)</f>
        <v>0</v>
      </c>
      <c r="O27" s="173">
        <f>IF($D27="","",'Total &amp; Budget Targets'!$G$69)</f>
        <v>0</v>
      </c>
    </row>
    <row r="28" spans="1:15" ht="15.75" customHeight="1" x14ac:dyDescent="0.2">
      <c r="A28" s="165">
        <f t="shared" si="3"/>
        <v>24</v>
      </c>
      <c r="B28" s="172"/>
      <c r="C28" s="169">
        <f>IF(D27="","",IF(D27+1&gt;'Date Info'!$D$21,"",D27+1))</f>
        <v>46388</v>
      </c>
      <c r="D28" s="172">
        <f>IFERROR(IF(C28="","",IF(EOMONTH(C28,0)&gt;'Date Info'!$D$21,'Date Info'!$D$21,EOMONTH(C28,0))),"")</f>
        <v>46418</v>
      </c>
      <c r="E28" s="173">
        <f>IF($D28="","",IFERROR(SUMIFS(Expenses!$E:$E,Expenses!$B:$B,"&gt;="&amp;$C28,Expenses!$B:$B,"&lt;="&amp;$D28),"na"))</f>
        <v>0</v>
      </c>
      <c r="F28" s="173">
        <f>IF($D28="","",IFERROR(SUMIFS(Income!$D:$D,Income!$B:$B,"&gt;="&amp;$C28,Income!$B:$B,"&lt;="&amp;$D28),"na"))</f>
        <v>0</v>
      </c>
      <c r="G28" s="173">
        <f t="shared" si="0"/>
        <v>0</v>
      </c>
      <c r="H28" s="174" t="str">
        <f t="shared" si="1"/>
        <v>na</v>
      </c>
      <c r="I28" s="174" t="str">
        <f t="shared" si="2"/>
        <v>na</v>
      </c>
      <c r="J28" s="173">
        <f t="shared" ref="J28:L28" si="26">IF(E28="","",J$5)</f>
        <v>38</v>
      </c>
      <c r="K28" s="173">
        <f t="shared" si="26"/>
        <v>300</v>
      </c>
      <c r="L28" s="173">
        <f t="shared" si="26"/>
        <v>262</v>
      </c>
      <c r="M28" s="173">
        <f>IF($D28="","",'Total &amp; Budget Targets'!$G$44)</f>
        <v>0</v>
      </c>
      <c r="N28" s="173">
        <f>IF($D28="","",'Total &amp; Budget Targets'!$G$63)</f>
        <v>0</v>
      </c>
      <c r="O28" s="173">
        <f>IF($D28="","",'Total &amp; Budget Targets'!$G$69)</f>
        <v>0</v>
      </c>
    </row>
    <row r="29" spans="1:15" ht="15.75" customHeight="1" x14ac:dyDescent="0.2">
      <c r="A29" s="165">
        <f t="shared" si="3"/>
        <v>25</v>
      </c>
      <c r="B29" s="172"/>
      <c r="C29" s="169">
        <f>IF(D28="","",IF(D28+1&gt;'Date Info'!$D$21,"",D28+1))</f>
        <v>46419</v>
      </c>
      <c r="D29" s="172">
        <f>IFERROR(IF(C29="","",IF(EOMONTH(C29,0)&gt;'Date Info'!$D$21,'Date Info'!$D$21,EOMONTH(C29,0))),"")</f>
        <v>46446</v>
      </c>
      <c r="E29" s="173">
        <f>IF($D29="","",IFERROR(SUMIFS(Expenses!$E:$E,Expenses!$B:$B,"&gt;="&amp;$C29,Expenses!$B:$B,"&lt;="&amp;$D29),"na"))</f>
        <v>0</v>
      </c>
      <c r="F29" s="173">
        <f>IF($D29="","",IFERROR(SUMIFS(Income!$D:$D,Income!$B:$B,"&gt;="&amp;$C29,Income!$B:$B,"&lt;="&amp;$D29),"na"))</f>
        <v>0</v>
      </c>
      <c r="G29" s="173">
        <f t="shared" si="0"/>
        <v>0</v>
      </c>
      <c r="H29" s="174" t="str">
        <f t="shared" si="1"/>
        <v>na</v>
      </c>
      <c r="I29" s="174" t="str">
        <f t="shared" si="2"/>
        <v>na</v>
      </c>
      <c r="J29" s="173">
        <f t="shared" ref="J29:L29" si="27">IF(E29="","",J$5)</f>
        <v>38</v>
      </c>
      <c r="K29" s="173">
        <f t="shared" si="27"/>
        <v>300</v>
      </c>
      <c r="L29" s="173">
        <f t="shared" si="27"/>
        <v>262</v>
      </c>
      <c r="M29" s="173">
        <f>IF($D29="","",'Total &amp; Budget Targets'!$G$44)</f>
        <v>0</v>
      </c>
      <c r="N29" s="173">
        <f>IF($D29="","",'Total &amp; Budget Targets'!$G$63)</f>
        <v>0</v>
      </c>
      <c r="O29" s="173">
        <f>IF($D29="","",'Total &amp; Budget Targets'!$G$69)</f>
        <v>0</v>
      </c>
    </row>
    <row r="30" spans="1:15" ht="15.75" customHeight="1" x14ac:dyDescent="0.2">
      <c r="A30" s="165">
        <f t="shared" si="3"/>
        <v>26</v>
      </c>
      <c r="B30" s="172"/>
      <c r="C30" s="169">
        <f>IF(D29="","",IF(D29+1&gt;'Date Info'!$D$21,"",D29+1))</f>
        <v>46447</v>
      </c>
      <c r="D30" s="172">
        <f>IFERROR(IF(C30="","",IF(EOMONTH(C30,0)&gt;'Date Info'!$D$21,'Date Info'!$D$21,EOMONTH(C30,0))),"")</f>
        <v>46477</v>
      </c>
      <c r="E30" s="173">
        <f>IF($D30="","",IFERROR(SUMIFS(Expenses!$E:$E,Expenses!$B:$B,"&gt;="&amp;$C30,Expenses!$B:$B,"&lt;="&amp;$D30),"na"))</f>
        <v>0</v>
      </c>
      <c r="F30" s="173">
        <f>IF($D30="","",IFERROR(SUMIFS(Income!$D:$D,Income!$B:$B,"&gt;="&amp;$C30,Income!$B:$B,"&lt;="&amp;$D30),"na"))</f>
        <v>0</v>
      </c>
      <c r="G30" s="173">
        <f t="shared" si="0"/>
        <v>0</v>
      </c>
      <c r="H30" s="174" t="str">
        <f t="shared" si="1"/>
        <v>na</v>
      </c>
      <c r="I30" s="174" t="str">
        <f t="shared" si="2"/>
        <v>na</v>
      </c>
      <c r="J30" s="173">
        <f t="shared" ref="J30:L30" si="28">IF(E30="","",J$5)</f>
        <v>38</v>
      </c>
      <c r="K30" s="173">
        <f t="shared" si="28"/>
        <v>300</v>
      </c>
      <c r="L30" s="173">
        <f t="shared" si="28"/>
        <v>262</v>
      </c>
      <c r="M30" s="173">
        <f>IF($D30="","",'Total &amp; Budget Targets'!$G$44)</f>
        <v>0</v>
      </c>
      <c r="N30" s="173">
        <f>IF($D30="","",'Total &amp; Budget Targets'!$G$63)</f>
        <v>0</v>
      </c>
      <c r="O30" s="173">
        <f>IF($D30="","",'Total &amp; Budget Targets'!$G$69)</f>
        <v>0</v>
      </c>
    </row>
    <row r="31" spans="1:15" ht="15.75" customHeight="1" x14ac:dyDescent="0.2">
      <c r="A31" s="165">
        <f t="shared" si="3"/>
        <v>27</v>
      </c>
      <c r="B31" s="172"/>
      <c r="C31" s="169">
        <f>IF(D30="","",IF(D30+1&gt;'Date Info'!$D$21,"",D30+1))</f>
        <v>46478</v>
      </c>
      <c r="D31" s="172">
        <f>IFERROR(IF(C31="","",IF(EOMONTH(C31,0)&gt;'Date Info'!$D$21,'Date Info'!$D$21,EOMONTH(C31,0))),"")</f>
        <v>46507</v>
      </c>
      <c r="E31" s="173">
        <f>IF($D31="","",IFERROR(SUMIFS(Expenses!$E:$E,Expenses!$B:$B,"&gt;="&amp;$C31,Expenses!$B:$B,"&lt;="&amp;$D31),"na"))</f>
        <v>0</v>
      </c>
      <c r="F31" s="173">
        <f>IF($D31="","",IFERROR(SUMIFS(Income!$D:$D,Income!$B:$B,"&gt;="&amp;$C31,Income!$B:$B,"&lt;="&amp;$D31),"na"))</f>
        <v>0</v>
      </c>
      <c r="G31" s="173">
        <f t="shared" si="0"/>
        <v>0</v>
      </c>
      <c r="H31" s="174" t="str">
        <f t="shared" si="1"/>
        <v>na</v>
      </c>
      <c r="I31" s="174" t="str">
        <f t="shared" si="2"/>
        <v>na</v>
      </c>
      <c r="J31" s="173">
        <f t="shared" ref="J31:L31" si="29">IF(E31="","",J$5)</f>
        <v>38</v>
      </c>
      <c r="K31" s="173">
        <f t="shared" si="29"/>
        <v>300</v>
      </c>
      <c r="L31" s="173">
        <f t="shared" si="29"/>
        <v>262</v>
      </c>
      <c r="M31" s="173">
        <f>IF($D31="","",'Total &amp; Budget Targets'!$G$44)</f>
        <v>0</v>
      </c>
      <c r="N31" s="173">
        <f>IF($D31="","",'Total &amp; Budget Targets'!$G$63)</f>
        <v>0</v>
      </c>
      <c r="O31" s="173">
        <f>IF($D31="","",'Total &amp; Budget Targets'!$G$69)</f>
        <v>0</v>
      </c>
    </row>
    <row r="32" spans="1:15" ht="15.75" customHeight="1" x14ac:dyDescent="0.2">
      <c r="A32" s="165">
        <f t="shared" si="3"/>
        <v>28</v>
      </c>
      <c r="B32" s="172"/>
      <c r="C32" s="169">
        <f>IF(D31="","",IF(D31+1&gt;'Date Info'!$D$21,"",D31+1))</f>
        <v>46508</v>
      </c>
      <c r="D32" s="172">
        <f>IFERROR(IF(C32="","",IF(EOMONTH(C32,0)&gt;'Date Info'!$D$21,'Date Info'!$D$21,EOMONTH(C32,0))),"")</f>
        <v>46538</v>
      </c>
      <c r="E32" s="173">
        <f>IF($D32="","",IFERROR(SUMIFS(Expenses!$E:$E,Expenses!$B:$B,"&gt;="&amp;$C32,Expenses!$B:$B,"&lt;="&amp;$D32),"na"))</f>
        <v>0</v>
      </c>
      <c r="F32" s="173">
        <f>IF($D32="","",IFERROR(SUMIFS(Income!$D:$D,Income!$B:$B,"&gt;="&amp;$C32,Income!$B:$B,"&lt;="&amp;$D32),"na"))</f>
        <v>0</v>
      </c>
      <c r="G32" s="173">
        <f t="shared" si="0"/>
        <v>0</v>
      </c>
      <c r="H32" s="174" t="str">
        <f t="shared" si="1"/>
        <v>na</v>
      </c>
      <c r="I32" s="174" t="str">
        <f t="shared" si="2"/>
        <v>na</v>
      </c>
      <c r="J32" s="173">
        <f t="shared" ref="J32:L32" si="30">IF(E32="","",J$5)</f>
        <v>38</v>
      </c>
      <c r="K32" s="173">
        <f t="shared" si="30"/>
        <v>300</v>
      </c>
      <c r="L32" s="173">
        <f t="shared" si="30"/>
        <v>262</v>
      </c>
      <c r="M32" s="173">
        <f>IF($D32="","",'Total &amp; Budget Targets'!$G$44)</f>
        <v>0</v>
      </c>
      <c r="N32" s="173">
        <f>IF($D32="","",'Total &amp; Budget Targets'!$G$63)</f>
        <v>0</v>
      </c>
      <c r="O32" s="173">
        <f>IF($D32="","",'Total &amp; Budget Targets'!$G$69)</f>
        <v>0</v>
      </c>
    </row>
    <row r="33" spans="1:15" ht="15.75" customHeight="1" x14ac:dyDescent="0.2">
      <c r="A33" s="165">
        <f t="shared" si="3"/>
        <v>29</v>
      </c>
      <c r="B33" s="172"/>
      <c r="C33" s="169">
        <f>IF(D32="","",IF(D32+1&gt;'Date Info'!$D$21,"",D32+1))</f>
        <v>46539</v>
      </c>
      <c r="D33" s="172">
        <f>IFERROR(IF(C33="","",IF(EOMONTH(C33,0)&gt;'Date Info'!$D$21,'Date Info'!$D$21,EOMONTH(C33,0))),"")</f>
        <v>46568</v>
      </c>
      <c r="E33" s="173">
        <f>IF($D33="","",IFERROR(SUMIFS(Expenses!$E:$E,Expenses!$B:$B,"&gt;="&amp;$C33,Expenses!$B:$B,"&lt;="&amp;$D33),"na"))</f>
        <v>0</v>
      </c>
      <c r="F33" s="173">
        <f>IF($D33="","",IFERROR(SUMIFS(Income!$D:$D,Income!$B:$B,"&gt;="&amp;$C33,Income!$B:$B,"&lt;="&amp;$D33),"na"))</f>
        <v>0</v>
      </c>
      <c r="G33" s="173">
        <f t="shared" si="0"/>
        <v>0</v>
      </c>
      <c r="H33" s="174" t="str">
        <f t="shared" si="1"/>
        <v>na</v>
      </c>
      <c r="I33" s="174" t="str">
        <f t="shared" si="2"/>
        <v>na</v>
      </c>
      <c r="J33" s="173">
        <f t="shared" ref="J33:L33" si="31">IF(E33="","",J$5)</f>
        <v>38</v>
      </c>
      <c r="K33" s="173">
        <f t="shared" si="31"/>
        <v>300</v>
      </c>
      <c r="L33" s="173">
        <f t="shared" si="31"/>
        <v>262</v>
      </c>
      <c r="M33" s="173">
        <f>IF($D33="","",'Total &amp; Budget Targets'!$G$44)</f>
        <v>0</v>
      </c>
      <c r="N33" s="173">
        <f>IF($D33="","",'Total &amp; Budget Targets'!$G$63)</f>
        <v>0</v>
      </c>
      <c r="O33" s="173">
        <f>IF($D33="","",'Total &amp; Budget Targets'!$G$69)</f>
        <v>0</v>
      </c>
    </row>
    <row r="34" spans="1:15" ht="15.75" customHeight="1" x14ac:dyDescent="0.2">
      <c r="A34" s="165">
        <f t="shared" si="3"/>
        <v>30</v>
      </c>
      <c r="B34" s="172"/>
      <c r="C34" s="169">
        <f>IF(D33="","",IF(D33+1&gt;'Date Info'!$D$21,"",D33+1))</f>
        <v>46569</v>
      </c>
      <c r="D34" s="172">
        <f>IFERROR(IF(C34="","",IF(EOMONTH(C34,0)&gt;'Date Info'!$D$21,'Date Info'!$D$21,EOMONTH(C34,0))),"")</f>
        <v>46599</v>
      </c>
      <c r="E34" s="173">
        <f>IF($D34="","",IFERROR(SUMIFS(Expenses!$E:$E,Expenses!$B:$B,"&gt;="&amp;$C34,Expenses!$B:$B,"&lt;="&amp;$D34),"na"))</f>
        <v>0</v>
      </c>
      <c r="F34" s="173">
        <f>IF($D34="","",IFERROR(SUMIFS(Income!$D:$D,Income!$B:$B,"&gt;="&amp;$C34,Income!$B:$B,"&lt;="&amp;$D34),"na"))</f>
        <v>0</v>
      </c>
      <c r="G34" s="173">
        <f t="shared" si="0"/>
        <v>0</v>
      </c>
      <c r="H34" s="174" t="str">
        <f t="shared" si="1"/>
        <v>na</v>
      </c>
      <c r="I34" s="174" t="str">
        <f t="shared" si="2"/>
        <v>na</v>
      </c>
      <c r="J34" s="173">
        <f t="shared" ref="J34:L34" si="32">IF(E34="","",J$5)</f>
        <v>38</v>
      </c>
      <c r="K34" s="173">
        <f t="shared" si="32"/>
        <v>300</v>
      </c>
      <c r="L34" s="173">
        <f t="shared" si="32"/>
        <v>262</v>
      </c>
      <c r="M34" s="173">
        <f>IF($D34="","",'Total &amp; Budget Targets'!$G$44)</f>
        <v>0</v>
      </c>
      <c r="N34" s="173">
        <f>IF($D34="","",'Total &amp; Budget Targets'!$G$63)</f>
        <v>0</v>
      </c>
      <c r="O34" s="173">
        <f>IF($D34="","",'Total &amp; Budget Targets'!$G$69)</f>
        <v>0</v>
      </c>
    </row>
    <row r="35" spans="1:15" ht="15.75" customHeight="1" x14ac:dyDescent="0.2">
      <c r="A35" s="165">
        <f t="shared" si="3"/>
        <v>31</v>
      </c>
      <c r="B35" s="172"/>
      <c r="C35" s="169">
        <f>IF(D34="","",IF(D34+1&gt;'Date Info'!$D$21,"",D34+1))</f>
        <v>46600</v>
      </c>
      <c r="D35" s="172">
        <f>IFERROR(IF(C35="","",IF(EOMONTH(C35,0)&gt;'Date Info'!$D$21,'Date Info'!$D$21,EOMONTH(C35,0))),"")</f>
        <v>46630</v>
      </c>
      <c r="E35" s="173">
        <f>IF($D35="","",IFERROR(SUMIFS(Expenses!$E:$E,Expenses!$B:$B,"&gt;="&amp;$C35,Expenses!$B:$B,"&lt;="&amp;$D35),"na"))</f>
        <v>0</v>
      </c>
      <c r="F35" s="173">
        <f>IF($D35="","",IFERROR(SUMIFS(Income!$D:$D,Income!$B:$B,"&gt;="&amp;$C35,Income!$B:$B,"&lt;="&amp;$D35),"na"))</f>
        <v>0</v>
      </c>
      <c r="G35" s="173">
        <f t="shared" si="0"/>
        <v>0</v>
      </c>
      <c r="H35" s="174" t="str">
        <f t="shared" si="1"/>
        <v>na</v>
      </c>
      <c r="I35" s="174" t="str">
        <f t="shared" si="2"/>
        <v>na</v>
      </c>
      <c r="J35" s="173">
        <f t="shared" ref="J35:L35" si="33">IF(E35="","",J$5)</f>
        <v>38</v>
      </c>
      <c r="K35" s="173">
        <f t="shared" si="33"/>
        <v>300</v>
      </c>
      <c r="L35" s="173">
        <f t="shared" si="33"/>
        <v>262</v>
      </c>
      <c r="M35" s="173">
        <f>IF($D35="","",'Total &amp; Budget Targets'!$G$44)</f>
        <v>0</v>
      </c>
      <c r="N35" s="173">
        <f>IF($D35="","",'Total &amp; Budget Targets'!$G$63)</f>
        <v>0</v>
      </c>
      <c r="O35" s="173">
        <f>IF($D35="","",'Total &amp; Budget Targets'!$G$69)</f>
        <v>0</v>
      </c>
    </row>
    <row r="36" spans="1:15" ht="15.75" customHeight="1" x14ac:dyDescent="0.2">
      <c r="A36" s="165">
        <f t="shared" si="3"/>
        <v>32</v>
      </c>
      <c r="B36" s="172"/>
      <c r="C36" s="169">
        <f>IF(D35="","",IF(D35+1&gt;'Date Info'!$D$21,"",D35+1))</f>
        <v>46631</v>
      </c>
      <c r="D36" s="172">
        <f>IFERROR(IF(C36="","",IF(EOMONTH(C36,0)&gt;'Date Info'!$D$21,'Date Info'!$D$21,EOMONTH(C36,0))),"")</f>
        <v>46660</v>
      </c>
      <c r="E36" s="173">
        <f>IF($D36="","",IFERROR(SUMIFS(Expenses!$E:$E,Expenses!$B:$B,"&gt;="&amp;$C36,Expenses!$B:$B,"&lt;="&amp;$D36),"na"))</f>
        <v>0</v>
      </c>
      <c r="F36" s="173">
        <f>IF($D36="","",IFERROR(SUMIFS(Income!$D:$D,Income!$B:$B,"&gt;="&amp;$C36,Income!$B:$B,"&lt;="&amp;$D36),"na"))</f>
        <v>0</v>
      </c>
      <c r="G36" s="173">
        <f t="shared" si="0"/>
        <v>0</v>
      </c>
      <c r="H36" s="174" t="str">
        <f t="shared" si="1"/>
        <v>na</v>
      </c>
      <c r="I36" s="174" t="str">
        <f t="shared" si="2"/>
        <v>na</v>
      </c>
      <c r="J36" s="173">
        <f t="shared" ref="J36:L36" si="34">IF(E36="","",J$5)</f>
        <v>38</v>
      </c>
      <c r="K36" s="173">
        <f t="shared" si="34"/>
        <v>300</v>
      </c>
      <c r="L36" s="173">
        <f t="shared" si="34"/>
        <v>262</v>
      </c>
      <c r="M36" s="173">
        <f>IF($D36="","",'Total &amp; Budget Targets'!$G$44)</f>
        <v>0</v>
      </c>
      <c r="N36" s="173">
        <f>IF($D36="","",'Total &amp; Budget Targets'!$G$63)</f>
        <v>0</v>
      </c>
      <c r="O36" s="173">
        <f>IF($D36="","",'Total &amp; Budget Targets'!$G$69)</f>
        <v>0</v>
      </c>
    </row>
    <row r="37" spans="1:15" ht="15.75" customHeight="1" x14ac:dyDescent="0.2">
      <c r="A37" s="165">
        <f t="shared" si="3"/>
        <v>33</v>
      </c>
      <c r="B37" s="172"/>
      <c r="C37" s="169">
        <f>IF(D36="","",IF(D36+1&gt;'Date Info'!$D$21,"",D36+1))</f>
        <v>46661</v>
      </c>
      <c r="D37" s="172">
        <f>IFERROR(IF(C37="","",IF(EOMONTH(C37,0)&gt;'Date Info'!$D$21,'Date Info'!$D$21,EOMONTH(C37,0))),"")</f>
        <v>46691</v>
      </c>
      <c r="E37" s="173">
        <f>IF($D37="","",IFERROR(SUMIFS(Expenses!$E:$E,Expenses!$B:$B,"&gt;="&amp;$C37,Expenses!$B:$B,"&lt;="&amp;$D37),"na"))</f>
        <v>0</v>
      </c>
      <c r="F37" s="173">
        <f>IF($D37="","",IFERROR(SUMIFS(Income!$D:$D,Income!$B:$B,"&gt;="&amp;$C37,Income!$B:$B,"&lt;="&amp;$D37),"na"))</f>
        <v>0</v>
      </c>
      <c r="G37" s="173">
        <f t="shared" si="0"/>
        <v>0</v>
      </c>
      <c r="H37" s="174" t="str">
        <f t="shared" si="1"/>
        <v>na</v>
      </c>
      <c r="I37" s="174" t="str">
        <f t="shared" si="2"/>
        <v>na</v>
      </c>
      <c r="J37" s="173">
        <f t="shared" ref="J37:L37" si="35">IF(E37="","",J$5)</f>
        <v>38</v>
      </c>
      <c r="K37" s="173">
        <f t="shared" si="35"/>
        <v>300</v>
      </c>
      <c r="L37" s="173">
        <f t="shared" si="35"/>
        <v>262</v>
      </c>
      <c r="M37" s="173">
        <f>IF($D37="","",'Total &amp; Budget Targets'!$G$44)</f>
        <v>0</v>
      </c>
      <c r="N37" s="173">
        <f>IF($D37="","",'Total &amp; Budget Targets'!$G$63)</f>
        <v>0</v>
      </c>
      <c r="O37" s="173">
        <f>IF($D37="","",'Total &amp; Budget Targets'!$G$69)</f>
        <v>0</v>
      </c>
    </row>
    <row r="38" spans="1:15" ht="15.75" customHeight="1" x14ac:dyDescent="0.2">
      <c r="A38" s="165">
        <f t="shared" si="3"/>
        <v>34</v>
      </c>
      <c r="B38" s="172"/>
      <c r="C38" s="169">
        <f>IF(D37="","",IF(D37+1&gt;'Date Info'!$D$21,"",D37+1))</f>
        <v>46692</v>
      </c>
      <c r="D38" s="172">
        <f>IFERROR(IF(C38="","",IF(EOMONTH(C38,0)&gt;'Date Info'!$D$21,'Date Info'!$D$21,EOMONTH(C38,0))),"")</f>
        <v>46721</v>
      </c>
      <c r="E38" s="173">
        <f>IF($D38="","",IFERROR(SUMIFS(Expenses!$E:$E,Expenses!$B:$B,"&gt;="&amp;$C38,Expenses!$B:$B,"&lt;="&amp;$D38),"na"))</f>
        <v>0</v>
      </c>
      <c r="F38" s="173">
        <f>IF($D38="","",IFERROR(SUMIFS(Income!$D:$D,Income!$B:$B,"&gt;="&amp;$C38,Income!$B:$B,"&lt;="&amp;$D38),"na"))</f>
        <v>0</v>
      </c>
      <c r="G38" s="173">
        <f t="shared" si="0"/>
        <v>0</v>
      </c>
      <c r="H38" s="174" t="str">
        <f t="shared" si="1"/>
        <v>na</v>
      </c>
      <c r="I38" s="174" t="str">
        <f t="shared" si="2"/>
        <v>na</v>
      </c>
      <c r="J38" s="173">
        <f t="shared" ref="J38:L38" si="36">IF(E38="","",J$5)</f>
        <v>38</v>
      </c>
      <c r="K38" s="173">
        <f t="shared" si="36"/>
        <v>300</v>
      </c>
      <c r="L38" s="173">
        <f t="shared" si="36"/>
        <v>262</v>
      </c>
      <c r="M38" s="173">
        <f>IF($D38="","",'Total &amp; Budget Targets'!$G$44)</f>
        <v>0</v>
      </c>
      <c r="N38" s="173">
        <f>IF($D38="","",'Total &amp; Budget Targets'!$G$63)</f>
        <v>0</v>
      </c>
      <c r="O38" s="173">
        <f>IF($D38="","",'Total &amp; Budget Targets'!$G$69)</f>
        <v>0</v>
      </c>
    </row>
    <row r="39" spans="1:15" ht="15.75" customHeight="1" x14ac:dyDescent="0.2">
      <c r="A39" s="165">
        <f t="shared" si="3"/>
        <v>35</v>
      </c>
      <c r="B39" s="172"/>
      <c r="C39" s="169">
        <f>IF(D38="","",IF(D38+1&gt;'Date Info'!$D$21,"",D38+1))</f>
        <v>46722</v>
      </c>
      <c r="D39" s="172">
        <f>IFERROR(IF(C39="","",IF(EOMONTH(C39,0)&gt;'Date Info'!$D$21,'Date Info'!$D$21,EOMONTH(C39,0))),"")</f>
        <v>46752</v>
      </c>
      <c r="E39" s="173">
        <f>IF($D39="","",IFERROR(SUMIFS(Expenses!$E:$E,Expenses!$B:$B,"&gt;="&amp;$C39,Expenses!$B:$B,"&lt;="&amp;$D39),"na"))</f>
        <v>0</v>
      </c>
      <c r="F39" s="173">
        <f>IF($D39="","",IFERROR(SUMIFS(Income!$D:$D,Income!$B:$B,"&gt;="&amp;$C39,Income!$B:$B,"&lt;="&amp;$D39),"na"))</f>
        <v>0</v>
      </c>
      <c r="G39" s="173">
        <f t="shared" si="0"/>
        <v>0</v>
      </c>
      <c r="H39" s="174" t="str">
        <f t="shared" si="1"/>
        <v>na</v>
      </c>
      <c r="I39" s="174" t="str">
        <f t="shared" si="2"/>
        <v>na</v>
      </c>
      <c r="J39" s="173">
        <f t="shared" ref="J39:L39" si="37">IF(E39="","",J$5)</f>
        <v>38</v>
      </c>
      <c r="K39" s="173">
        <f t="shared" si="37"/>
        <v>300</v>
      </c>
      <c r="L39" s="173">
        <f t="shared" si="37"/>
        <v>262</v>
      </c>
      <c r="M39" s="173">
        <f>IF($D39="","",'Total &amp; Budget Targets'!$G$44)</f>
        <v>0</v>
      </c>
      <c r="N39" s="173">
        <f>IF($D39="","",'Total &amp; Budget Targets'!$G$63)</f>
        <v>0</v>
      </c>
      <c r="O39" s="173">
        <f>IF($D39="","",'Total &amp; Budget Targets'!$G$69)</f>
        <v>0</v>
      </c>
    </row>
    <row r="40" spans="1:15" ht="15.75" customHeight="1" x14ac:dyDescent="0.2">
      <c r="A40" s="165">
        <f t="shared" si="3"/>
        <v>36</v>
      </c>
      <c r="B40" s="172"/>
      <c r="C40" s="169">
        <f>IF(D39="","",IF(D39+1&gt;'Date Info'!$D$21,"",D39+1))</f>
        <v>46753</v>
      </c>
      <c r="D40" s="172">
        <f>IFERROR(IF(C40="","",IF(EOMONTH(C40,0)&gt;'Date Info'!$D$21,'Date Info'!$D$21,EOMONTH(C40,0))),"")</f>
        <v>46783</v>
      </c>
      <c r="E40" s="173">
        <f>IF($D40="","",IFERROR(SUMIFS(Expenses!$E:$E,Expenses!$B:$B,"&gt;="&amp;$C40,Expenses!$B:$B,"&lt;="&amp;$D40),"na"))</f>
        <v>0</v>
      </c>
      <c r="F40" s="173">
        <f>IF($D40="","",IFERROR(SUMIFS(Income!$D:$D,Income!$B:$B,"&gt;="&amp;$C40,Income!$B:$B,"&lt;="&amp;$D40),"na"))</f>
        <v>0</v>
      </c>
      <c r="G40" s="173">
        <f t="shared" si="0"/>
        <v>0</v>
      </c>
      <c r="H40" s="174" t="str">
        <f t="shared" si="1"/>
        <v>na</v>
      </c>
      <c r="I40" s="174" t="str">
        <f t="shared" si="2"/>
        <v>na</v>
      </c>
      <c r="J40" s="173">
        <f t="shared" ref="J40:L40" si="38">IF(E40="","",J$5)</f>
        <v>38</v>
      </c>
      <c r="K40" s="173">
        <f t="shared" si="38"/>
        <v>300</v>
      </c>
      <c r="L40" s="173">
        <f t="shared" si="38"/>
        <v>262</v>
      </c>
      <c r="M40" s="173">
        <f>IF($D40="","",'Total &amp; Budget Targets'!$G$44)</f>
        <v>0</v>
      </c>
      <c r="N40" s="173">
        <f>IF($D40="","",'Total &amp; Budget Targets'!$G$63)</f>
        <v>0</v>
      </c>
      <c r="O40" s="173">
        <f>IF($D40="","",'Total &amp; Budget Targets'!$G$69)</f>
        <v>0</v>
      </c>
    </row>
    <row r="41" spans="1:15" ht="15.75" customHeight="1" x14ac:dyDescent="0.2">
      <c r="A41" s="165">
        <f t="shared" si="3"/>
        <v>37</v>
      </c>
      <c r="B41" s="172"/>
      <c r="C41" s="169">
        <f>IF(D40="","",IF(D40+1&gt;'Date Info'!$D$21,"",D40+1))</f>
        <v>46784</v>
      </c>
      <c r="D41" s="172">
        <f>IFERROR(IF(C41="","",IF(EOMONTH(C41,0)&gt;'Date Info'!$D$21,'Date Info'!$D$21,EOMONTH(C41,0))),"")</f>
        <v>46812</v>
      </c>
      <c r="E41" s="173">
        <f>IF($D41="","",IFERROR(SUMIFS(Expenses!$E:$E,Expenses!$B:$B,"&gt;="&amp;$C41,Expenses!$B:$B,"&lt;="&amp;$D41),"na"))</f>
        <v>0</v>
      </c>
      <c r="F41" s="173">
        <f>IF($D41="","",IFERROR(SUMIFS(Income!$D:$D,Income!$B:$B,"&gt;="&amp;$C41,Income!$B:$B,"&lt;="&amp;$D41),"na"))</f>
        <v>0</v>
      </c>
      <c r="G41" s="173">
        <f t="shared" si="0"/>
        <v>0</v>
      </c>
      <c r="H41" s="174" t="str">
        <f t="shared" si="1"/>
        <v>na</v>
      </c>
      <c r="I41" s="174" t="str">
        <f t="shared" si="2"/>
        <v>na</v>
      </c>
      <c r="J41" s="173">
        <f t="shared" ref="J41:L41" si="39">IF(E41="","",J$5)</f>
        <v>38</v>
      </c>
      <c r="K41" s="173">
        <f t="shared" si="39"/>
        <v>300</v>
      </c>
      <c r="L41" s="173">
        <f t="shared" si="39"/>
        <v>262</v>
      </c>
      <c r="M41" s="173">
        <f>IF($D41="","",'Total &amp; Budget Targets'!$G$44)</f>
        <v>0</v>
      </c>
      <c r="N41" s="173">
        <f>IF($D41="","",'Total &amp; Budget Targets'!$G$63)</f>
        <v>0</v>
      </c>
      <c r="O41" s="173">
        <f>IF($D41="","",'Total &amp; Budget Targets'!$G$69)</f>
        <v>0</v>
      </c>
    </row>
    <row r="42" spans="1:15" ht="15.75" customHeight="1" x14ac:dyDescent="0.2">
      <c r="A42" s="165">
        <f t="shared" si="3"/>
        <v>38</v>
      </c>
      <c r="B42" s="172"/>
      <c r="C42" s="169">
        <f>IF(D41="","",IF(D41+1&gt;'Date Info'!$D$21,"",D41+1))</f>
        <v>46813</v>
      </c>
      <c r="D42" s="172">
        <f>IFERROR(IF(C42="","",IF(EOMONTH(C42,0)&gt;'Date Info'!$D$21,'Date Info'!$D$21,EOMONTH(C42,0))),"")</f>
        <v>46843</v>
      </c>
      <c r="E42" s="173">
        <f>IF($D42="","",IFERROR(SUMIFS(Expenses!$E:$E,Expenses!$B:$B,"&gt;="&amp;$C42,Expenses!$B:$B,"&lt;="&amp;$D42),"na"))</f>
        <v>0</v>
      </c>
      <c r="F42" s="173">
        <f>IF($D42="","",IFERROR(SUMIFS(Income!$D:$D,Income!$B:$B,"&gt;="&amp;$C42,Income!$B:$B,"&lt;="&amp;$D42),"na"))</f>
        <v>0</v>
      </c>
      <c r="G42" s="173">
        <f t="shared" si="0"/>
        <v>0</v>
      </c>
      <c r="H42" s="174" t="str">
        <f t="shared" si="1"/>
        <v>na</v>
      </c>
      <c r="I42" s="174" t="str">
        <f t="shared" si="2"/>
        <v>na</v>
      </c>
      <c r="J42" s="173">
        <f t="shared" ref="J42:L42" si="40">IF(E42="","",J$5)</f>
        <v>38</v>
      </c>
      <c r="K42" s="173">
        <f t="shared" si="40"/>
        <v>300</v>
      </c>
      <c r="L42" s="173">
        <f t="shared" si="40"/>
        <v>262</v>
      </c>
      <c r="M42" s="173">
        <f>IF($D42="","",'Total &amp; Budget Targets'!$G$44)</f>
        <v>0</v>
      </c>
      <c r="N42" s="173">
        <f>IF($D42="","",'Total &amp; Budget Targets'!$G$63)</f>
        <v>0</v>
      </c>
      <c r="O42" s="173">
        <f>IF($D42="","",'Total &amp; Budget Targets'!$G$69)</f>
        <v>0</v>
      </c>
    </row>
    <row r="43" spans="1:15" ht="15.75" customHeight="1" x14ac:dyDescent="0.2">
      <c r="A43" s="165">
        <f t="shared" si="3"/>
        <v>39</v>
      </c>
      <c r="B43" s="172"/>
      <c r="C43" s="169">
        <f>IF(D42="","",IF(D42+1&gt;'Date Info'!$D$21,"",D42+1))</f>
        <v>46844</v>
      </c>
      <c r="D43" s="172">
        <f>IFERROR(IF(C43="","",IF(EOMONTH(C43,0)&gt;'Date Info'!$D$21,'Date Info'!$D$21,EOMONTH(C43,0))),"")</f>
        <v>46873</v>
      </c>
      <c r="E43" s="173">
        <f>IF($D43="","",IFERROR(SUMIFS(Expenses!$E:$E,Expenses!$B:$B,"&gt;="&amp;$C43,Expenses!$B:$B,"&lt;="&amp;$D43),"na"))</f>
        <v>0</v>
      </c>
      <c r="F43" s="173">
        <f>IF($D43="","",IFERROR(SUMIFS(Income!$D:$D,Income!$B:$B,"&gt;="&amp;$C43,Income!$B:$B,"&lt;="&amp;$D43),"na"))</f>
        <v>0</v>
      </c>
      <c r="G43" s="173">
        <f t="shared" si="0"/>
        <v>0</v>
      </c>
      <c r="H43" s="174" t="str">
        <f t="shared" si="1"/>
        <v>na</v>
      </c>
      <c r="I43" s="174" t="str">
        <f t="shared" si="2"/>
        <v>na</v>
      </c>
      <c r="J43" s="173">
        <f t="shared" ref="J43:L43" si="41">IF(E43="","",J$5)</f>
        <v>38</v>
      </c>
      <c r="K43" s="173">
        <f t="shared" si="41"/>
        <v>300</v>
      </c>
      <c r="L43" s="173">
        <f t="shared" si="41"/>
        <v>262</v>
      </c>
      <c r="M43" s="173">
        <f>IF($D43="","",'Total &amp; Budget Targets'!$G$44)</f>
        <v>0</v>
      </c>
      <c r="N43" s="173">
        <f>IF($D43="","",'Total &amp; Budget Targets'!$G$63)</f>
        <v>0</v>
      </c>
      <c r="O43" s="173">
        <f>IF($D43="","",'Total &amp; Budget Targets'!$G$69)</f>
        <v>0</v>
      </c>
    </row>
    <row r="44" spans="1:15" ht="15.75" customHeight="1" x14ac:dyDescent="0.2">
      <c r="A44" s="165">
        <f t="shared" si="3"/>
        <v>40</v>
      </c>
      <c r="B44" s="172"/>
      <c r="C44" s="169">
        <f>IF(D43="","",IF(D43+1&gt;'Date Info'!$D$21,"",D43+1))</f>
        <v>46874</v>
      </c>
      <c r="D44" s="172">
        <f>IFERROR(IF(C44="","",IF(EOMONTH(C44,0)&gt;'Date Info'!$D$21,'Date Info'!$D$21,EOMONTH(C44,0))),"")</f>
        <v>46904</v>
      </c>
      <c r="E44" s="173">
        <f>IF($D44="","",IFERROR(SUMIFS(Expenses!$E:$E,Expenses!$B:$B,"&gt;="&amp;$C44,Expenses!$B:$B,"&lt;="&amp;$D44),"na"))</f>
        <v>0</v>
      </c>
      <c r="F44" s="173">
        <f>IF($D44="","",IFERROR(SUMIFS(Income!$D:$D,Income!$B:$B,"&gt;="&amp;$C44,Income!$B:$B,"&lt;="&amp;$D44),"na"))</f>
        <v>0</v>
      </c>
      <c r="G44" s="173">
        <f t="shared" si="0"/>
        <v>0</v>
      </c>
      <c r="H44" s="174" t="str">
        <f t="shared" si="1"/>
        <v>na</v>
      </c>
      <c r="I44" s="174" t="str">
        <f t="shared" si="2"/>
        <v>na</v>
      </c>
      <c r="J44" s="173">
        <f t="shared" ref="J44:L44" si="42">IF(E44="","",J$5)</f>
        <v>38</v>
      </c>
      <c r="K44" s="173">
        <f t="shared" si="42"/>
        <v>300</v>
      </c>
      <c r="L44" s="173">
        <f t="shared" si="42"/>
        <v>262</v>
      </c>
      <c r="M44" s="173">
        <f>IF($D44="","",'Total &amp; Budget Targets'!$G$44)</f>
        <v>0</v>
      </c>
      <c r="N44" s="173">
        <f>IF($D44="","",'Total &amp; Budget Targets'!$G$63)</f>
        <v>0</v>
      </c>
      <c r="O44" s="173">
        <f>IF($D44="","",'Total &amp; Budget Targets'!$G$69)</f>
        <v>0</v>
      </c>
    </row>
    <row r="45" spans="1:15" ht="15.75" customHeight="1" x14ac:dyDescent="0.2">
      <c r="A45" s="165">
        <f t="shared" si="3"/>
        <v>41</v>
      </c>
      <c r="B45" s="172"/>
      <c r="C45" s="169">
        <f>IF(D44="","",IF(D44+1&gt;'Date Info'!$D$21,"",D44+1))</f>
        <v>46905</v>
      </c>
      <c r="D45" s="172">
        <f>IFERROR(IF(C45="","",IF(EOMONTH(C45,0)&gt;'Date Info'!$D$21,'Date Info'!$D$21,EOMONTH(C45,0))),"")</f>
        <v>46934</v>
      </c>
      <c r="E45" s="173">
        <f>IF($D45="","",IFERROR(SUMIFS(Expenses!$E:$E,Expenses!$B:$B,"&gt;="&amp;$C45,Expenses!$B:$B,"&lt;="&amp;$D45),"na"))</f>
        <v>0</v>
      </c>
      <c r="F45" s="173">
        <f>IF($D45="","",IFERROR(SUMIFS(Income!$D:$D,Income!$B:$B,"&gt;="&amp;$C45,Income!$B:$B,"&lt;="&amp;$D45),"na"))</f>
        <v>0</v>
      </c>
      <c r="G45" s="173">
        <f t="shared" si="0"/>
        <v>0</v>
      </c>
      <c r="H45" s="174" t="str">
        <f t="shared" si="1"/>
        <v>na</v>
      </c>
      <c r="I45" s="174" t="str">
        <f t="shared" si="2"/>
        <v>na</v>
      </c>
      <c r="J45" s="173">
        <f t="shared" ref="J45:L45" si="43">IF(E45="","",J$5)</f>
        <v>38</v>
      </c>
      <c r="K45" s="173">
        <f t="shared" si="43"/>
        <v>300</v>
      </c>
      <c r="L45" s="173">
        <f t="shared" si="43"/>
        <v>262</v>
      </c>
      <c r="M45" s="173">
        <f>IF($D45="","",'Total &amp; Budget Targets'!$G$44)</f>
        <v>0</v>
      </c>
      <c r="N45" s="173">
        <f>IF($D45="","",'Total &amp; Budget Targets'!$G$63)</f>
        <v>0</v>
      </c>
      <c r="O45" s="173">
        <f>IF($D45="","",'Total &amp; Budget Targets'!$G$69)</f>
        <v>0</v>
      </c>
    </row>
    <row r="46" spans="1:15" ht="15.75" customHeight="1" x14ac:dyDescent="0.2">
      <c r="A46" s="165">
        <f t="shared" si="3"/>
        <v>42</v>
      </c>
      <c r="B46" s="172"/>
      <c r="C46" s="169">
        <f>IF(D45="","",IF(D45+1&gt;'Date Info'!$D$21,"",D45+1))</f>
        <v>46935</v>
      </c>
      <c r="D46" s="172">
        <f>IFERROR(IF(C46="","",IF(EOMONTH(C46,0)&gt;'Date Info'!$D$21,'Date Info'!$D$21,EOMONTH(C46,0))),"")</f>
        <v>46965</v>
      </c>
      <c r="E46" s="173">
        <f>IF($D46="","",IFERROR(SUMIFS(Expenses!$E:$E,Expenses!$B:$B,"&gt;="&amp;$C46,Expenses!$B:$B,"&lt;="&amp;$D46),"na"))</f>
        <v>0</v>
      </c>
      <c r="F46" s="173">
        <f>IF($D46="","",IFERROR(SUMIFS(Income!$D:$D,Income!$B:$B,"&gt;="&amp;$C46,Income!$B:$B,"&lt;="&amp;$D46),"na"))</f>
        <v>0</v>
      </c>
      <c r="G46" s="173">
        <f t="shared" si="0"/>
        <v>0</v>
      </c>
      <c r="H46" s="174" t="str">
        <f t="shared" si="1"/>
        <v>na</v>
      </c>
      <c r="I46" s="174" t="str">
        <f t="shared" si="2"/>
        <v>na</v>
      </c>
      <c r="J46" s="173">
        <f t="shared" ref="J46:L46" si="44">IF(E46="","",J$5)</f>
        <v>38</v>
      </c>
      <c r="K46" s="173">
        <f t="shared" si="44"/>
        <v>300</v>
      </c>
      <c r="L46" s="173">
        <f t="shared" si="44"/>
        <v>262</v>
      </c>
      <c r="M46" s="173">
        <f>IF($D46="","",'Total &amp; Budget Targets'!$G$44)</f>
        <v>0</v>
      </c>
      <c r="N46" s="173">
        <f>IF($D46="","",'Total &amp; Budget Targets'!$G$63)</f>
        <v>0</v>
      </c>
      <c r="O46" s="173">
        <f>IF($D46="","",'Total &amp; Budget Targets'!$G$69)</f>
        <v>0</v>
      </c>
    </row>
    <row r="47" spans="1:15" ht="15.75" customHeight="1" x14ac:dyDescent="0.2">
      <c r="A47" s="165">
        <f t="shared" si="3"/>
        <v>43</v>
      </c>
      <c r="B47" s="172"/>
      <c r="C47" s="169">
        <f>IF(D46="","",IF(D46+1&gt;'Date Info'!$D$21,"",D46+1))</f>
        <v>46966</v>
      </c>
      <c r="D47" s="172">
        <f>IFERROR(IF(C47="","",IF(EOMONTH(C47,0)&gt;'Date Info'!$D$21,'Date Info'!$D$21,EOMONTH(C47,0))),"")</f>
        <v>46996</v>
      </c>
      <c r="E47" s="173">
        <f>IF($D47="","",IFERROR(SUMIFS(Expenses!$E:$E,Expenses!$B:$B,"&gt;="&amp;$C47,Expenses!$B:$B,"&lt;="&amp;$D47),"na"))</f>
        <v>0</v>
      </c>
      <c r="F47" s="173">
        <f>IF($D47="","",IFERROR(SUMIFS(Income!$D:$D,Income!$B:$B,"&gt;="&amp;$C47,Income!$B:$B,"&lt;="&amp;$D47),"na"))</f>
        <v>0</v>
      </c>
      <c r="G47" s="173">
        <f t="shared" si="0"/>
        <v>0</v>
      </c>
      <c r="H47" s="174" t="str">
        <f t="shared" si="1"/>
        <v>na</v>
      </c>
      <c r="I47" s="174" t="str">
        <f t="shared" si="2"/>
        <v>na</v>
      </c>
      <c r="J47" s="173">
        <f t="shared" ref="J47:L47" si="45">IF(E47="","",J$5)</f>
        <v>38</v>
      </c>
      <c r="K47" s="173">
        <f t="shared" si="45"/>
        <v>300</v>
      </c>
      <c r="L47" s="173">
        <f t="shared" si="45"/>
        <v>262</v>
      </c>
      <c r="M47" s="173">
        <f>IF($D47="","",'Total &amp; Budget Targets'!$G$44)</f>
        <v>0</v>
      </c>
      <c r="N47" s="173">
        <f>IF($D47="","",'Total &amp; Budget Targets'!$G$63)</f>
        <v>0</v>
      </c>
      <c r="O47" s="173">
        <f>IF($D47="","",'Total &amp; Budget Targets'!$G$69)</f>
        <v>0</v>
      </c>
    </row>
    <row r="48" spans="1:15" ht="15.75" customHeight="1" x14ac:dyDescent="0.2">
      <c r="A48" s="165">
        <f t="shared" si="3"/>
        <v>44</v>
      </c>
      <c r="B48" s="172"/>
      <c r="C48" s="169">
        <f>IF(D47="","",IF(D47+1&gt;'Date Info'!$D$21,"",D47+1))</f>
        <v>46997</v>
      </c>
      <c r="D48" s="172">
        <f>IFERROR(IF(C48="","",IF(EOMONTH(C48,0)&gt;'Date Info'!$D$21,'Date Info'!$D$21,EOMONTH(C48,0))),"")</f>
        <v>47026</v>
      </c>
      <c r="E48" s="173">
        <f>IF($D48="","",IFERROR(SUMIFS(Expenses!$E:$E,Expenses!$B:$B,"&gt;="&amp;$C48,Expenses!$B:$B,"&lt;="&amp;$D48),"na"))</f>
        <v>0</v>
      </c>
      <c r="F48" s="173">
        <f>IF($D48="","",IFERROR(SUMIFS(Income!$D:$D,Income!$B:$B,"&gt;="&amp;$C48,Income!$B:$B,"&lt;="&amp;$D48),"na"))</f>
        <v>0</v>
      </c>
      <c r="G48" s="173">
        <f t="shared" si="0"/>
        <v>0</v>
      </c>
      <c r="H48" s="174" t="str">
        <f t="shared" si="1"/>
        <v>na</v>
      </c>
      <c r="I48" s="174" t="str">
        <f t="shared" si="2"/>
        <v>na</v>
      </c>
      <c r="J48" s="173">
        <f t="shared" ref="J48:L48" si="46">IF(E48="","",J$5)</f>
        <v>38</v>
      </c>
      <c r="K48" s="173">
        <f t="shared" si="46"/>
        <v>300</v>
      </c>
      <c r="L48" s="173">
        <f t="shared" si="46"/>
        <v>262</v>
      </c>
      <c r="M48" s="173">
        <f>IF($D48="","",'Total &amp; Budget Targets'!$G$44)</f>
        <v>0</v>
      </c>
      <c r="N48" s="173">
        <f>IF($D48="","",'Total &amp; Budget Targets'!$G$63)</f>
        <v>0</v>
      </c>
      <c r="O48" s="173">
        <f>IF($D48="","",'Total &amp; Budget Targets'!$G$69)</f>
        <v>0</v>
      </c>
    </row>
    <row r="49" spans="1:15" ht="15.75" customHeight="1" x14ac:dyDescent="0.2">
      <c r="A49" s="165">
        <f t="shared" si="3"/>
        <v>45</v>
      </c>
      <c r="B49" s="172"/>
      <c r="C49" s="169">
        <f>IF(D48="","",IF(D48+1&gt;'Date Info'!$D$21,"",D48+1))</f>
        <v>47027</v>
      </c>
      <c r="D49" s="172">
        <f>IFERROR(IF(C49="","",IF(EOMONTH(C49,0)&gt;'Date Info'!$D$21,'Date Info'!$D$21,EOMONTH(C49,0))),"")</f>
        <v>47057</v>
      </c>
      <c r="E49" s="173">
        <f>IF($D49="","",IFERROR(SUMIFS(Expenses!$E:$E,Expenses!$B:$B,"&gt;="&amp;$C49,Expenses!$B:$B,"&lt;="&amp;$D49),"na"))</f>
        <v>0</v>
      </c>
      <c r="F49" s="173">
        <f>IF($D49="","",IFERROR(SUMIFS(Income!$D:$D,Income!$B:$B,"&gt;="&amp;$C49,Income!$B:$B,"&lt;="&amp;$D49),"na"))</f>
        <v>0</v>
      </c>
      <c r="G49" s="173">
        <f t="shared" si="0"/>
        <v>0</v>
      </c>
      <c r="H49" s="174" t="str">
        <f t="shared" si="1"/>
        <v>na</v>
      </c>
      <c r="I49" s="174" t="str">
        <f t="shared" si="2"/>
        <v>na</v>
      </c>
      <c r="J49" s="173">
        <f t="shared" ref="J49:L49" si="47">IF(E49="","",J$5)</f>
        <v>38</v>
      </c>
      <c r="K49" s="173">
        <f t="shared" si="47"/>
        <v>300</v>
      </c>
      <c r="L49" s="173">
        <f t="shared" si="47"/>
        <v>262</v>
      </c>
      <c r="M49" s="173">
        <f>IF($D49="","",'Total &amp; Budget Targets'!$G$44)</f>
        <v>0</v>
      </c>
      <c r="N49" s="173">
        <f>IF($D49="","",'Total &amp; Budget Targets'!$G$63)</f>
        <v>0</v>
      </c>
      <c r="O49" s="173">
        <f>IF($D49="","",'Total &amp; Budget Targets'!$G$69)</f>
        <v>0</v>
      </c>
    </row>
    <row r="50" spans="1:15" ht="15.75" customHeight="1" x14ac:dyDescent="0.2">
      <c r="A50" s="165">
        <f t="shared" si="3"/>
        <v>46</v>
      </c>
      <c r="B50" s="172"/>
      <c r="C50" s="169">
        <f>IF(D49="","",IF(D49+1&gt;'Date Info'!$D$21,"",D49+1))</f>
        <v>47058</v>
      </c>
      <c r="D50" s="172">
        <f>IFERROR(IF(C50="","",IF(EOMONTH(C50,0)&gt;'Date Info'!$D$21,'Date Info'!$D$21,EOMONTH(C50,0))),"")</f>
        <v>47087</v>
      </c>
      <c r="E50" s="173">
        <f>IF($D50="","",IFERROR(SUMIFS(Expenses!$E:$E,Expenses!$B:$B,"&gt;="&amp;$C50,Expenses!$B:$B,"&lt;="&amp;$D50),"na"))</f>
        <v>0</v>
      </c>
      <c r="F50" s="173">
        <f>IF($D50="","",IFERROR(SUMIFS(Income!$D:$D,Income!$B:$B,"&gt;="&amp;$C50,Income!$B:$B,"&lt;="&amp;$D50),"na"))</f>
        <v>0</v>
      </c>
      <c r="G50" s="173">
        <f t="shared" si="0"/>
        <v>0</v>
      </c>
      <c r="H50" s="174" t="str">
        <f t="shared" si="1"/>
        <v>na</v>
      </c>
      <c r="I50" s="174" t="str">
        <f t="shared" si="2"/>
        <v>na</v>
      </c>
      <c r="J50" s="173">
        <f t="shared" ref="J50:L50" si="48">IF(E50="","",J$5)</f>
        <v>38</v>
      </c>
      <c r="K50" s="173">
        <f t="shared" si="48"/>
        <v>300</v>
      </c>
      <c r="L50" s="173">
        <f t="shared" si="48"/>
        <v>262</v>
      </c>
      <c r="M50" s="173">
        <f>IF($D50="","",'Total &amp; Budget Targets'!$G$44)</f>
        <v>0</v>
      </c>
      <c r="N50" s="173">
        <f>IF($D50="","",'Total &amp; Budget Targets'!$G$63)</f>
        <v>0</v>
      </c>
      <c r="O50" s="173">
        <f>IF($D50="","",'Total &amp; Budget Targets'!$G$69)</f>
        <v>0</v>
      </c>
    </row>
    <row r="51" spans="1:15" ht="15.75" customHeight="1" x14ac:dyDescent="0.2">
      <c r="A51" s="165">
        <f t="shared" si="3"/>
        <v>47</v>
      </c>
      <c r="B51" s="172"/>
      <c r="C51" s="169">
        <f>IF(D50="","",IF(D50+1&gt;'Date Info'!$D$21,"",D50+1))</f>
        <v>47088</v>
      </c>
      <c r="D51" s="172">
        <f>IFERROR(IF(C51="","",IF(EOMONTH(C51,0)&gt;'Date Info'!$D$21,'Date Info'!$D$21,EOMONTH(C51,0))),"")</f>
        <v>47118</v>
      </c>
      <c r="E51" s="173">
        <f>IF($D51="","",IFERROR(SUMIFS(Expenses!$E:$E,Expenses!$B:$B,"&gt;="&amp;$C51,Expenses!$B:$B,"&lt;="&amp;$D51),"na"))</f>
        <v>0</v>
      </c>
      <c r="F51" s="173">
        <f>IF($D51="","",IFERROR(SUMIFS(Income!$D:$D,Income!$B:$B,"&gt;="&amp;$C51,Income!$B:$B,"&lt;="&amp;$D51),"na"))</f>
        <v>0</v>
      </c>
      <c r="G51" s="173">
        <f t="shared" si="0"/>
        <v>0</v>
      </c>
      <c r="H51" s="174" t="str">
        <f t="shared" si="1"/>
        <v>na</v>
      </c>
      <c r="I51" s="174" t="str">
        <f t="shared" si="2"/>
        <v>na</v>
      </c>
      <c r="J51" s="173">
        <f t="shared" ref="J51:L51" si="49">IF(E51="","",J$5)</f>
        <v>38</v>
      </c>
      <c r="K51" s="173">
        <f t="shared" si="49"/>
        <v>300</v>
      </c>
      <c r="L51" s="173">
        <f t="shared" si="49"/>
        <v>262</v>
      </c>
      <c r="M51" s="173">
        <f>IF($D51="","",'Total &amp; Budget Targets'!$G$44)</f>
        <v>0</v>
      </c>
      <c r="N51" s="173">
        <f>IF($D51="","",'Total &amp; Budget Targets'!$G$63)</f>
        <v>0</v>
      </c>
      <c r="O51" s="173">
        <f>IF($D51="","",'Total &amp; Budget Targets'!$G$69)</f>
        <v>0</v>
      </c>
    </row>
    <row r="52" spans="1:15" ht="15.75" customHeight="1" x14ac:dyDescent="0.2">
      <c r="A52" s="165">
        <f t="shared" si="3"/>
        <v>48</v>
      </c>
      <c r="B52" s="172"/>
      <c r="C52" s="169">
        <f>IF(D51="","",IF(D51+1&gt;'Date Info'!$D$21,"",D51+1))</f>
        <v>47119</v>
      </c>
      <c r="D52" s="172">
        <f>IFERROR(IF(C52="","",IF(EOMONTH(C52,0)&gt;'Date Info'!$D$21,'Date Info'!$D$21,EOMONTH(C52,0))),"")</f>
        <v>47149</v>
      </c>
      <c r="E52" s="173">
        <f>IF($D52="","",IFERROR(SUMIFS(Expenses!$E:$E,Expenses!$B:$B,"&gt;="&amp;$C52,Expenses!$B:$B,"&lt;="&amp;$D52),"na"))</f>
        <v>0</v>
      </c>
      <c r="F52" s="173">
        <f>IF($D52="","",IFERROR(SUMIFS(Income!$D:$D,Income!$B:$B,"&gt;="&amp;$C52,Income!$B:$B,"&lt;="&amp;$D52),"na"))</f>
        <v>0</v>
      </c>
      <c r="G52" s="173">
        <f t="shared" si="0"/>
        <v>0</v>
      </c>
      <c r="H52" s="174" t="str">
        <f t="shared" si="1"/>
        <v>na</v>
      </c>
      <c r="I52" s="174" t="str">
        <f t="shared" si="2"/>
        <v>na</v>
      </c>
      <c r="J52" s="173">
        <f t="shared" ref="J52:L52" si="50">IF(E52="","",J$5)</f>
        <v>38</v>
      </c>
      <c r="K52" s="173">
        <f t="shared" si="50"/>
        <v>300</v>
      </c>
      <c r="L52" s="173">
        <f t="shared" si="50"/>
        <v>262</v>
      </c>
      <c r="M52" s="173">
        <f>IF($D52="","",'Total &amp; Budget Targets'!$G$44)</f>
        <v>0</v>
      </c>
      <c r="N52" s="173">
        <f>IF($D52="","",'Total &amp; Budget Targets'!$G$63)</f>
        <v>0</v>
      </c>
      <c r="O52" s="173">
        <f>IF($D52="","",'Total &amp; Budget Targets'!$G$69)</f>
        <v>0</v>
      </c>
    </row>
    <row r="53" spans="1:15" ht="15.75" customHeight="1" x14ac:dyDescent="0.2">
      <c r="A53" s="165">
        <f t="shared" si="3"/>
        <v>49</v>
      </c>
      <c r="B53" s="172"/>
      <c r="C53" s="169">
        <f>IF(D52="","",IF(D52+1&gt;'Date Info'!$D$21,"",D52+1))</f>
        <v>47150</v>
      </c>
      <c r="D53" s="172">
        <f>IFERROR(IF(C53="","",IF(EOMONTH(C53,0)&gt;'Date Info'!$D$21,'Date Info'!$D$21,EOMONTH(C53,0))),"")</f>
        <v>47177</v>
      </c>
      <c r="E53" s="173">
        <f>IF($D53="","",IFERROR(SUMIFS(Expenses!$E:$E,Expenses!$B:$B,"&gt;="&amp;$C53,Expenses!$B:$B,"&lt;="&amp;$D53),"na"))</f>
        <v>0</v>
      </c>
      <c r="F53" s="173">
        <f>IF($D53="","",IFERROR(SUMIFS(Income!$D:$D,Income!$B:$B,"&gt;="&amp;$C53,Income!$B:$B,"&lt;="&amp;$D53),"na"))</f>
        <v>0</v>
      </c>
      <c r="G53" s="173">
        <f t="shared" si="0"/>
        <v>0</v>
      </c>
      <c r="H53" s="174" t="str">
        <f t="shared" si="1"/>
        <v>na</v>
      </c>
      <c r="I53" s="174" t="str">
        <f t="shared" si="2"/>
        <v>na</v>
      </c>
      <c r="J53" s="173">
        <f t="shared" ref="J53:L53" si="51">IF(E53="","",J$5)</f>
        <v>38</v>
      </c>
      <c r="K53" s="173">
        <f t="shared" si="51"/>
        <v>300</v>
      </c>
      <c r="L53" s="173">
        <f t="shared" si="51"/>
        <v>262</v>
      </c>
      <c r="M53" s="173">
        <f>IF($D53="","",'Total &amp; Budget Targets'!$G$44)</f>
        <v>0</v>
      </c>
      <c r="N53" s="173">
        <f>IF($D53="","",'Total &amp; Budget Targets'!$G$63)</f>
        <v>0</v>
      </c>
      <c r="O53" s="173">
        <f>IF($D53="","",'Total &amp; Budget Targets'!$G$69)</f>
        <v>0</v>
      </c>
    </row>
    <row r="54" spans="1:15" ht="15.75" customHeight="1" x14ac:dyDescent="0.2">
      <c r="A54" s="165">
        <f t="shared" si="3"/>
        <v>50</v>
      </c>
      <c r="B54" s="172"/>
      <c r="C54" s="169">
        <f>IF(D53="","",IF(D53+1&gt;'Date Info'!$D$21,"",D53+1))</f>
        <v>47178</v>
      </c>
      <c r="D54" s="172">
        <f>IFERROR(IF(C54="","",IF(EOMONTH(C54,0)&gt;'Date Info'!$D$21,'Date Info'!$D$21,EOMONTH(C54,0))),"")</f>
        <v>47208</v>
      </c>
      <c r="E54" s="173">
        <f>IF($D54="","",IFERROR(SUMIFS(Expenses!$E:$E,Expenses!$B:$B,"&gt;="&amp;$C54,Expenses!$B:$B,"&lt;="&amp;$D54),"na"))</f>
        <v>0</v>
      </c>
      <c r="F54" s="173">
        <f>IF($D54="","",IFERROR(SUMIFS(Income!$D:$D,Income!$B:$B,"&gt;="&amp;$C54,Income!$B:$B,"&lt;="&amp;$D54),"na"))</f>
        <v>0</v>
      </c>
      <c r="G54" s="173">
        <f t="shared" si="0"/>
        <v>0</v>
      </c>
      <c r="H54" s="174" t="str">
        <f t="shared" si="1"/>
        <v>na</v>
      </c>
      <c r="I54" s="174" t="str">
        <f t="shared" si="2"/>
        <v>na</v>
      </c>
      <c r="J54" s="173">
        <f t="shared" ref="J54:L54" si="52">IF(E54="","",J$5)</f>
        <v>38</v>
      </c>
      <c r="K54" s="173">
        <f t="shared" si="52"/>
        <v>300</v>
      </c>
      <c r="L54" s="173">
        <f t="shared" si="52"/>
        <v>262</v>
      </c>
      <c r="M54" s="173">
        <f>IF($D54="","",'Total &amp; Budget Targets'!$G$44)</f>
        <v>0</v>
      </c>
      <c r="N54" s="173">
        <f>IF($D54="","",'Total &amp; Budget Targets'!$G$63)</f>
        <v>0</v>
      </c>
      <c r="O54" s="173">
        <f>IF($D54="","",'Total &amp; Budget Targets'!$G$69)</f>
        <v>0</v>
      </c>
    </row>
    <row r="55" spans="1:15" ht="15.75" customHeight="1" x14ac:dyDescent="0.2">
      <c r="A55" s="165">
        <f t="shared" si="3"/>
        <v>51</v>
      </c>
      <c r="B55" s="172"/>
      <c r="C55" s="169">
        <f>IF(D54="","",IF(D54+1&gt;'Date Info'!$D$21,"",D54+1))</f>
        <v>47209</v>
      </c>
      <c r="D55" s="172">
        <f>IFERROR(IF(C55="","",IF(EOMONTH(C55,0)&gt;'Date Info'!$D$21,'Date Info'!$D$21,EOMONTH(C55,0))),"")</f>
        <v>47238</v>
      </c>
      <c r="E55" s="173">
        <f>IF($D55="","",IFERROR(SUMIFS(Expenses!$E:$E,Expenses!$B:$B,"&gt;="&amp;$C55,Expenses!$B:$B,"&lt;="&amp;$D55),"na"))</f>
        <v>0</v>
      </c>
      <c r="F55" s="173">
        <f>IF($D55="","",IFERROR(SUMIFS(Income!$D:$D,Income!$B:$B,"&gt;="&amp;$C55,Income!$B:$B,"&lt;="&amp;$D55),"na"))</f>
        <v>0</v>
      </c>
      <c r="G55" s="173">
        <f t="shared" si="0"/>
        <v>0</v>
      </c>
      <c r="H55" s="174" t="str">
        <f t="shared" si="1"/>
        <v>na</v>
      </c>
      <c r="I55" s="174" t="str">
        <f t="shared" si="2"/>
        <v>na</v>
      </c>
      <c r="J55" s="173">
        <f t="shared" ref="J55:L55" si="53">IF(E55="","",J$5)</f>
        <v>38</v>
      </c>
      <c r="K55" s="173">
        <f t="shared" si="53"/>
        <v>300</v>
      </c>
      <c r="L55" s="173">
        <f t="shared" si="53"/>
        <v>262</v>
      </c>
      <c r="M55" s="173">
        <f>IF($D55="","",'Total &amp; Budget Targets'!$G$44)</f>
        <v>0</v>
      </c>
      <c r="N55" s="173">
        <f>IF($D55="","",'Total &amp; Budget Targets'!$G$63)</f>
        <v>0</v>
      </c>
      <c r="O55" s="173">
        <f>IF($D55="","",'Total &amp; Budget Targets'!$G$69)</f>
        <v>0</v>
      </c>
    </row>
    <row r="56" spans="1:15" ht="15.75" customHeight="1" x14ac:dyDescent="0.2">
      <c r="A56" s="165">
        <f t="shared" si="3"/>
        <v>52</v>
      </c>
      <c r="B56" s="172"/>
      <c r="C56" s="169">
        <f>IF(D55="","",IF(D55+1&gt;'Date Info'!$D$21,"",D55+1))</f>
        <v>47239</v>
      </c>
      <c r="D56" s="172">
        <f>IFERROR(IF(C56="","",IF(EOMONTH(C56,0)&gt;'Date Info'!$D$21,'Date Info'!$D$21,EOMONTH(C56,0))),"")</f>
        <v>47269</v>
      </c>
      <c r="E56" s="173">
        <f>IF($D56="","",IFERROR(SUMIFS(Expenses!$E:$E,Expenses!$B:$B,"&gt;="&amp;$C56,Expenses!$B:$B,"&lt;="&amp;$D56),"na"))</f>
        <v>0</v>
      </c>
      <c r="F56" s="173">
        <f>IF($D56="","",IFERROR(SUMIFS(Income!$D:$D,Income!$B:$B,"&gt;="&amp;$C56,Income!$B:$B,"&lt;="&amp;$D56),"na"))</f>
        <v>0</v>
      </c>
      <c r="G56" s="173">
        <f t="shared" si="0"/>
        <v>0</v>
      </c>
      <c r="H56" s="174" t="str">
        <f t="shared" si="1"/>
        <v>na</v>
      </c>
      <c r="I56" s="174" t="str">
        <f t="shared" si="2"/>
        <v>na</v>
      </c>
      <c r="J56" s="173">
        <f t="shared" ref="J56:L56" si="54">IF(E56="","",J$5)</f>
        <v>38</v>
      </c>
      <c r="K56" s="173">
        <f t="shared" si="54"/>
        <v>300</v>
      </c>
      <c r="L56" s="173">
        <f t="shared" si="54"/>
        <v>262</v>
      </c>
      <c r="M56" s="173">
        <f>IF($D56="","",'Total &amp; Budget Targets'!$G$44)</f>
        <v>0</v>
      </c>
      <c r="N56" s="173">
        <f>IF($D56="","",'Total &amp; Budget Targets'!$G$63)</f>
        <v>0</v>
      </c>
      <c r="O56" s="173">
        <f>IF($D56="","",'Total &amp; Budget Targets'!$G$69)</f>
        <v>0</v>
      </c>
    </row>
    <row r="57" spans="1:15" ht="15.75" customHeight="1" x14ac:dyDescent="0.2">
      <c r="A57" s="165">
        <f t="shared" si="3"/>
        <v>53</v>
      </c>
      <c r="B57" s="172"/>
      <c r="C57" s="169">
        <f>IF(D56="","",IF(D56+1&gt;'Date Info'!$D$21,"",D56+1))</f>
        <v>47270</v>
      </c>
      <c r="D57" s="172">
        <f>IFERROR(IF(C57="","",IF(EOMONTH(C57,0)&gt;'Date Info'!$D$21,'Date Info'!$D$21,EOMONTH(C57,0))),"")</f>
        <v>47299</v>
      </c>
      <c r="E57" s="173">
        <f>IF($D57="","",IFERROR(SUMIFS(Expenses!$E:$E,Expenses!$B:$B,"&gt;="&amp;$C57,Expenses!$B:$B,"&lt;="&amp;$D57),"na"))</f>
        <v>0</v>
      </c>
      <c r="F57" s="173">
        <f>IF($D57="","",IFERROR(SUMIFS(Income!$D:$D,Income!$B:$B,"&gt;="&amp;$C57,Income!$B:$B,"&lt;="&amp;$D57),"na"))</f>
        <v>0</v>
      </c>
      <c r="G57" s="173">
        <f t="shared" si="0"/>
        <v>0</v>
      </c>
      <c r="H57" s="174" t="str">
        <f t="shared" si="1"/>
        <v>na</v>
      </c>
      <c r="I57" s="174" t="str">
        <f t="shared" si="2"/>
        <v>na</v>
      </c>
      <c r="J57" s="173">
        <f t="shared" ref="J57:L57" si="55">IF(E57="","",J$5)</f>
        <v>38</v>
      </c>
      <c r="K57" s="173">
        <f t="shared" si="55"/>
        <v>300</v>
      </c>
      <c r="L57" s="173">
        <f t="shared" si="55"/>
        <v>262</v>
      </c>
      <c r="M57" s="173">
        <f>IF($D57="","",'Total &amp; Budget Targets'!$G$44)</f>
        <v>0</v>
      </c>
      <c r="N57" s="173">
        <f>IF($D57="","",'Total &amp; Budget Targets'!$G$63)</f>
        <v>0</v>
      </c>
      <c r="O57" s="173">
        <f>IF($D57="","",'Total &amp; Budget Targets'!$G$69)</f>
        <v>0</v>
      </c>
    </row>
    <row r="58" spans="1:15" ht="15.75" customHeight="1" x14ac:dyDescent="0.2">
      <c r="A58" s="165">
        <f t="shared" si="3"/>
        <v>54</v>
      </c>
      <c r="B58" s="172"/>
      <c r="C58" s="169">
        <f>IF(D57="","",IF(D57+1&gt;'Date Info'!$D$21,"",D57+1))</f>
        <v>47300</v>
      </c>
      <c r="D58" s="172">
        <f>IFERROR(IF(C58="","",IF(EOMONTH(C58,0)&gt;'Date Info'!$D$21,'Date Info'!$D$21,EOMONTH(C58,0))),"")</f>
        <v>47330</v>
      </c>
      <c r="E58" s="173">
        <f>IF($D58="","",IFERROR(SUMIFS(Expenses!$E:$E,Expenses!$B:$B,"&gt;="&amp;$C58,Expenses!$B:$B,"&lt;="&amp;$D58),"na"))</f>
        <v>0</v>
      </c>
      <c r="F58" s="173">
        <f>IF($D58="","",IFERROR(SUMIFS(Income!$D:$D,Income!$B:$B,"&gt;="&amp;$C58,Income!$B:$B,"&lt;="&amp;$D58),"na"))</f>
        <v>0</v>
      </c>
      <c r="G58" s="173">
        <f t="shared" si="0"/>
        <v>0</v>
      </c>
      <c r="H58" s="174" t="str">
        <f t="shared" si="1"/>
        <v>na</v>
      </c>
      <c r="I58" s="174" t="str">
        <f t="shared" si="2"/>
        <v>na</v>
      </c>
      <c r="J58" s="173">
        <f t="shared" ref="J58:L58" si="56">IF(E58="","",J$5)</f>
        <v>38</v>
      </c>
      <c r="K58" s="173">
        <f t="shared" si="56"/>
        <v>300</v>
      </c>
      <c r="L58" s="173">
        <f t="shared" si="56"/>
        <v>262</v>
      </c>
      <c r="M58" s="173">
        <f>IF($D58="","",'Total &amp; Budget Targets'!$G$44)</f>
        <v>0</v>
      </c>
      <c r="N58" s="173">
        <f>IF($D58="","",'Total &amp; Budget Targets'!$G$63)</f>
        <v>0</v>
      </c>
      <c r="O58" s="173">
        <f>IF($D58="","",'Total &amp; Budget Targets'!$G$69)</f>
        <v>0</v>
      </c>
    </row>
    <row r="59" spans="1:15" ht="15.75" customHeight="1" x14ac:dyDescent="0.2">
      <c r="A59" s="165">
        <f t="shared" si="3"/>
        <v>55</v>
      </c>
      <c r="B59" s="172"/>
      <c r="C59" s="169">
        <f>IF(D58="","",IF(D58+1&gt;'Date Info'!$D$21,"",D58+1))</f>
        <v>47331</v>
      </c>
      <c r="D59" s="172">
        <f>IFERROR(IF(C59="","",IF(EOMONTH(C59,0)&gt;'Date Info'!$D$21,'Date Info'!$D$21,EOMONTH(C59,0))),"")</f>
        <v>47361</v>
      </c>
      <c r="E59" s="173">
        <f>IF($D59="","",IFERROR(SUMIFS(Expenses!$E:$E,Expenses!$B:$B,"&gt;="&amp;$C59,Expenses!$B:$B,"&lt;="&amp;$D59),"na"))</f>
        <v>0</v>
      </c>
      <c r="F59" s="173">
        <f>IF($D59="","",IFERROR(SUMIFS(Income!$D:$D,Income!$B:$B,"&gt;="&amp;$C59,Income!$B:$B,"&lt;="&amp;$D59),"na"))</f>
        <v>0</v>
      </c>
      <c r="G59" s="173">
        <f t="shared" si="0"/>
        <v>0</v>
      </c>
      <c r="H59" s="174" t="str">
        <f t="shared" si="1"/>
        <v>na</v>
      </c>
      <c r="I59" s="174" t="str">
        <f t="shared" si="2"/>
        <v>na</v>
      </c>
      <c r="J59" s="173">
        <f t="shared" ref="J59:L59" si="57">IF(E59="","",J$5)</f>
        <v>38</v>
      </c>
      <c r="K59" s="173">
        <f t="shared" si="57"/>
        <v>300</v>
      </c>
      <c r="L59" s="173">
        <f t="shared" si="57"/>
        <v>262</v>
      </c>
      <c r="M59" s="173">
        <f>IF($D59="","",'Total &amp; Budget Targets'!$G$44)</f>
        <v>0</v>
      </c>
      <c r="N59" s="173">
        <f>IF($D59="","",'Total &amp; Budget Targets'!$G$63)</f>
        <v>0</v>
      </c>
      <c r="O59" s="173">
        <f>IF($D59="","",'Total &amp; Budget Targets'!$G$69)</f>
        <v>0</v>
      </c>
    </row>
    <row r="60" spans="1:15" ht="15.75" customHeight="1" x14ac:dyDescent="0.2">
      <c r="A60" s="165">
        <f t="shared" si="3"/>
        <v>56</v>
      </c>
      <c r="B60" s="172"/>
      <c r="C60" s="169">
        <f>IF(D59="","",IF(D59+1&gt;'Date Info'!$D$21,"",D59+1))</f>
        <v>47362</v>
      </c>
      <c r="D60" s="172">
        <f>IFERROR(IF(C60="","",IF(EOMONTH(C60,0)&gt;'Date Info'!$D$21,'Date Info'!$D$21,EOMONTH(C60,0))),"")</f>
        <v>47391</v>
      </c>
      <c r="E60" s="173">
        <f>IF($D60="","",IFERROR(SUMIFS(Expenses!$E:$E,Expenses!$B:$B,"&gt;="&amp;$C60,Expenses!$B:$B,"&lt;="&amp;$D60),"na"))</f>
        <v>0</v>
      </c>
      <c r="F60" s="173">
        <f>IF($D60="","",IFERROR(SUMIFS(Income!$D:$D,Income!$B:$B,"&gt;="&amp;$C60,Income!$B:$B,"&lt;="&amp;$D60),"na"))</f>
        <v>0</v>
      </c>
      <c r="G60" s="173">
        <f t="shared" si="0"/>
        <v>0</v>
      </c>
      <c r="H60" s="174" t="str">
        <f t="shared" si="1"/>
        <v>na</v>
      </c>
      <c r="I60" s="174" t="str">
        <f t="shared" si="2"/>
        <v>na</v>
      </c>
      <c r="J60" s="173">
        <f t="shared" ref="J60:L60" si="58">IF(E60="","",J$5)</f>
        <v>38</v>
      </c>
      <c r="K60" s="173">
        <f t="shared" si="58"/>
        <v>300</v>
      </c>
      <c r="L60" s="173">
        <f t="shared" si="58"/>
        <v>262</v>
      </c>
      <c r="M60" s="173">
        <f>IF($D60="","",'Total &amp; Budget Targets'!$G$44)</f>
        <v>0</v>
      </c>
      <c r="N60" s="173">
        <f>IF($D60="","",'Total &amp; Budget Targets'!$G$63)</f>
        <v>0</v>
      </c>
      <c r="O60" s="173">
        <f>IF($D60="","",'Total &amp; Budget Targets'!$G$69)</f>
        <v>0</v>
      </c>
    </row>
    <row r="61" spans="1:15" ht="15.75" customHeight="1" x14ac:dyDescent="0.2">
      <c r="A61" s="165">
        <f t="shared" si="3"/>
        <v>57</v>
      </c>
      <c r="B61" s="172"/>
      <c r="C61" s="169">
        <f>IF(D60="","",IF(D60+1&gt;'Date Info'!$D$21,"",D60+1))</f>
        <v>47392</v>
      </c>
      <c r="D61" s="172">
        <f>IFERROR(IF(C61="","",IF(EOMONTH(C61,0)&gt;'Date Info'!$D$21,'Date Info'!$D$21,EOMONTH(C61,0))),"")</f>
        <v>47422</v>
      </c>
      <c r="E61" s="173">
        <f>IF($D61="","",IFERROR(SUMIFS(Expenses!$E:$E,Expenses!$B:$B,"&gt;="&amp;$C61,Expenses!$B:$B,"&lt;="&amp;$D61),"na"))</f>
        <v>0</v>
      </c>
      <c r="F61" s="173">
        <f>IF($D61="","",IFERROR(SUMIFS(Income!$D:$D,Income!$B:$B,"&gt;="&amp;$C61,Income!$B:$B,"&lt;="&amp;$D61),"na"))</f>
        <v>0</v>
      </c>
      <c r="G61" s="173">
        <f t="shared" si="0"/>
        <v>0</v>
      </c>
      <c r="H61" s="174" t="str">
        <f t="shared" si="1"/>
        <v>na</v>
      </c>
      <c r="I61" s="174" t="str">
        <f t="shared" si="2"/>
        <v>na</v>
      </c>
      <c r="J61" s="173">
        <f t="shared" ref="J61:L61" si="59">IF(E61="","",J$5)</f>
        <v>38</v>
      </c>
      <c r="K61" s="173">
        <f t="shared" si="59"/>
        <v>300</v>
      </c>
      <c r="L61" s="173">
        <f t="shared" si="59"/>
        <v>262</v>
      </c>
      <c r="M61" s="173">
        <f>IF($D61="","",'Total &amp; Budget Targets'!$G$44)</f>
        <v>0</v>
      </c>
      <c r="N61" s="173">
        <f>IF($D61="","",'Total &amp; Budget Targets'!$G$63)</f>
        <v>0</v>
      </c>
      <c r="O61" s="173">
        <f>IF($D61="","",'Total &amp; Budget Targets'!$G$69)</f>
        <v>0</v>
      </c>
    </row>
    <row r="62" spans="1:15" ht="15.75" customHeight="1" x14ac:dyDescent="0.2">
      <c r="A62" s="165">
        <f t="shared" si="3"/>
        <v>58</v>
      </c>
      <c r="B62" s="172"/>
      <c r="C62" s="169">
        <f>IF(D61="","",IF(D61+1&gt;'Date Info'!$D$21,"",D61+1))</f>
        <v>47423</v>
      </c>
      <c r="D62" s="172">
        <f>IFERROR(IF(C62="","",IF(EOMONTH(C62,0)&gt;'Date Info'!$D$21,'Date Info'!$D$21,EOMONTH(C62,0))),"")</f>
        <v>47452</v>
      </c>
      <c r="E62" s="173">
        <f>IF($D62="","",IFERROR(SUMIFS(Expenses!$E:$E,Expenses!$B:$B,"&gt;="&amp;$C62,Expenses!$B:$B,"&lt;="&amp;$D62),"na"))</f>
        <v>0</v>
      </c>
      <c r="F62" s="173">
        <f>IF($D62="","",IFERROR(SUMIFS(Income!$D:$D,Income!$B:$B,"&gt;="&amp;$C62,Income!$B:$B,"&lt;="&amp;$D62),"na"))</f>
        <v>0</v>
      </c>
      <c r="G62" s="173">
        <f t="shared" si="0"/>
        <v>0</v>
      </c>
      <c r="H62" s="174" t="str">
        <f t="shared" si="1"/>
        <v>na</v>
      </c>
      <c r="I62" s="174" t="str">
        <f t="shared" si="2"/>
        <v>na</v>
      </c>
      <c r="J62" s="173">
        <f t="shared" ref="J62:L62" si="60">IF(E62="","",J$5)</f>
        <v>38</v>
      </c>
      <c r="K62" s="173">
        <f t="shared" si="60"/>
        <v>300</v>
      </c>
      <c r="L62" s="173">
        <f t="shared" si="60"/>
        <v>262</v>
      </c>
      <c r="M62" s="173">
        <f>IF($D62="","",'Total &amp; Budget Targets'!$G$44)</f>
        <v>0</v>
      </c>
      <c r="N62" s="173">
        <f>IF($D62="","",'Total &amp; Budget Targets'!$G$63)</f>
        <v>0</v>
      </c>
      <c r="O62" s="173">
        <f>IF($D62="","",'Total &amp; Budget Targets'!$G$69)</f>
        <v>0</v>
      </c>
    </row>
    <row r="63" spans="1:15" ht="15.75" customHeight="1" x14ac:dyDescent="0.2">
      <c r="A63" s="165">
        <f t="shared" si="3"/>
        <v>59</v>
      </c>
      <c r="B63" s="172"/>
      <c r="C63" s="169">
        <f>IF(D62="","",IF(D62+1&gt;'Date Info'!$D$21,"",D62+1))</f>
        <v>47453</v>
      </c>
      <c r="D63" s="172">
        <f>IFERROR(IF(C63="","",IF(EOMONTH(C63,0)&gt;'Date Info'!$D$21,'Date Info'!$D$21,EOMONTH(C63,0))),"")</f>
        <v>47483</v>
      </c>
      <c r="E63" s="173">
        <f>IF($D63="","",IFERROR(SUMIFS(Expenses!$E:$E,Expenses!$B:$B,"&gt;="&amp;$C63,Expenses!$B:$B,"&lt;="&amp;$D63),"na"))</f>
        <v>0</v>
      </c>
      <c r="F63" s="173">
        <f>IF($D63="","",IFERROR(SUMIFS(Income!$D:$D,Income!$B:$B,"&gt;="&amp;$C63,Income!$B:$B,"&lt;="&amp;$D63),"na"))</f>
        <v>0</v>
      </c>
      <c r="G63" s="173">
        <f t="shared" si="0"/>
        <v>0</v>
      </c>
      <c r="H63" s="174" t="str">
        <f t="shared" si="1"/>
        <v>na</v>
      </c>
      <c r="I63" s="174" t="str">
        <f t="shared" si="2"/>
        <v>na</v>
      </c>
      <c r="J63" s="173">
        <f t="shared" ref="J63:L63" si="61">IF(E63="","",J$5)</f>
        <v>38</v>
      </c>
      <c r="K63" s="173">
        <f t="shared" si="61"/>
        <v>300</v>
      </c>
      <c r="L63" s="173">
        <f t="shared" si="61"/>
        <v>262</v>
      </c>
      <c r="M63" s="173">
        <f>IF($D63="","",'Total &amp; Budget Targets'!$G$44)</f>
        <v>0</v>
      </c>
      <c r="N63" s="173">
        <f>IF($D63="","",'Total &amp; Budget Targets'!$G$63)</f>
        <v>0</v>
      </c>
      <c r="O63" s="173">
        <f>IF($D63="","",'Total &amp; Budget Targets'!$G$69)</f>
        <v>0</v>
      </c>
    </row>
    <row r="64" spans="1:15" ht="15.75" customHeight="1" x14ac:dyDescent="0.2">
      <c r="A64" s="165">
        <f t="shared" si="3"/>
        <v>60</v>
      </c>
      <c r="B64" s="172"/>
      <c r="C64" s="169">
        <f>IF(D63="","",IF(D63+1&gt;'Date Info'!$D$21,"",D63+1))</f>
        <v>47484</v>
      </c>
      <c r="D64" s="172">
        <f>IFERROR(IF(C64="","",IF(EOMONTH(C64,0)&gt;'Date Info'!$D$21,'Date Info'!$D$21,EOMONTH(C64,0))),"")</f>
        <v>47514</v>
      </c>
      <c r="E64" s="173">
        <f>IF($D64="","",IFERROR(SUMIFS(Expenses!$E:$E,Expenses!$B:$B,"&gt;="&amp;$C64,Expenses!$B:$B,"&lt;="&amp;$D64),"na"))</f>
        <v>0</v>
      </c>
      <c r="F64" s="173">
        <f>IF($D64="","",IFERROR(SUMIFS(Income!$D:$D,Income!$B:$B,"&gt;="&amp;$C64,Income!$B:$B,"&lt;="&amp;$D64),"na"))</f>
        <v>0</v>
      </c>
      <c r="G64" s="173">
        <f t="shared" si="0"/>
        <v>0</v>
      </c>
      <c r="H64" s="174" t="str">
        <f t="shared" si="1"/>
        <v>na</v>
      </c>
      <c r="I64" s="174" t="str">
        <f t="shared" si="2"/>
        <v>na</v>
      </c>
      <c r="J64" s="173">
        <f t="shared" ref="J64:L64" si="62">IF(E64="","",J$5)</f>
        <v>38</v>
      </c>
      <c r="K64" s="173">
        <f t="shared" si="62"/>
        <v>300</v>
      </c>
      <c r="L64" s="173">
        <f t="shared" si="62"/>
        <v>262</v>
      </c>
      <c r="M64" s="173">
        <f>IF($D64="","",'Total &amp; Budget Targets'!$G$44)</f>
        <v>0</v>
      </c>
      <c r="N64" s="173">
        <f>IF($D64="","",'Total &amp; Budget Targets'!$G$63)</f>
        <v>0</v>
      </c>
      <c r="O64" s="173">
        <f>IF($D64="","",'Total &amp; Budget Targets'!$G$69)</f>
        <v>0</v>
      </c>
    </row>
    <row r="65" spans="1:15" ht="15.75" customHeight="1" x14ac:dyDescent="0.2">
      <c r="A65" s="165">
        <f t="shared" si="3"/>
        <v>61</v>
      </c>
      <c r="B65" s="172"/>
      <c r="C65" s="169">
        <f>IF(D64="","",IF(D64+1&gt;'Date Info'!$D$21,"",D64+1))</f>
        <v>47515</v>
      </c>
      <c r="D65" s="172">
        <f>IFERROR(IF(C65="","",IF(EOMONTH(C65,0)&gt;'Date Info'!$D$21,'Date Info'!$D$21,EOMONTH(C65,0))),"")</f>
        <v>47542</v>
      </c>
      <c r="E65" s="173">
        <f>IF($D65="","",IFERROR(SUMIFS(Expenses!$E:$E,Expenses!$B:$B,"&gt;="&amp;$C65,Expenses!$B:$B,"&lt;="&amp;$D65),"na"))</f>
        <v>0</v>
      </c>
      <c r="F65" s="173">
        <f>IF($D65="","",IFERROR(SUMIFS(Income!$D:$D,Income!$B:$B,"&gt;="&amp;$C65,Income!$B:$B,"&lt;="&amp;$D65),"na"))</f>
        <v>0</v>
      </c>
      <c r="G65" s="173">
        <f t="shared" si="0"/>
        <v>0</v>
      </c>
      <c r="H65" s="174" t="str">
        <f t="shared" si="1"/>
        <v>na</v>
      </c>
      <c r="I65" s="174" t="str">
        <f t="shared" si="2"/>
        <v>na</v>
      </c>
      <c r="J65" s="173">
        <f t="shared" ref="J65:L65" si="63">IF(E65="","",J$5)</f>
        <v>38</v>
      </c>
      <c r="K65" s="173">
        <f t="shared" si="63"/>
        <v>300</v>
      </c>
      <c r="L65" s="173">
        <f t="shared" si="63"/>
        <v>262</v>
      </c>
      <c r="M65" s="173">
        <f>IF($D65="","",'Total &amp; Budget Targets'!$G$44)</f>
        <v>0</v>
      </c>
      <c r="N65" s="173">
        <f>IF($D65="","",'Total &amp; Budget Targets'!$G$63)</f>
        <v>0</v>
      </c>
      <c r="O65" s="173">
        <f>IF($D65="","",'Total &amp; Budget Targets'!$G$69)</f>
        <v>0</v>
      </c>
    </row>
    <row r="66" spans="1:15" ht="15.75" customHeight="1" x14ac:dyDescent="0.2">
      <c r="A66" s="165">
        <f t="shared" si="3"/>
        <v>62</v>
      </c>
      <c r="B66" s="172"/>
      <c r="C66" s="169">
        <f>IF(D65="","",IF(D65+1&gt;'Date Info'!$D$21,"",D65+1))</f>
        <v>47543</v>
      </c>
      <c r="D66" s="172">
        <f>IFERROR(IF(C66="","",IF(EOMONTH(C66,0)&gt;'Date Info'!$D$21,'Date Info'!$D$21,EOMONTH(C66,0))),"")</f>
        <v>47573</v>
      </c>
      <c r="E66" s="173">
        <f>IF($D66="","",IFERROR(SUMIFS(Expenses!$E:$E,Expenses!$B:$B,"&gt;="&amp;$C66,Expenses!$B:$B,"&lt;="&amp;$D66),"na"))</f>
        <v>0</v>
      </c>
      <c r="F66" s="173">
        <f>IF($D66="","",IFERROR(SUMIFS(Income!$D:$D,Income!$B:$B,"&gt;="&amp;$C66,Income!$B:$B,"&lt;="&amp;$D66),"na"))</f>
        <v>0</v>
      </c>
      <c r="G66" s="173">
        <f t="shared" si="0"/>
        <v>0</v>
      </c>
      <c r="H66" s="174" t="str">
        <f t="shared" si="1"/>
        <v>na</v>
      </c>
      <c r="I66" s="174" t="str">
        <f t="shared" si="2"/>
        <v>na</v>
      </c>
      <c r="J66" s="173">
        <f t="shared" ref="J66:L66" si="64">IF(E66="","",J$5)</f>
        <v>38</v>
      </c>
      <c r="K66" s="173">
        <f t="shared" si="64"/>
        <v>300</v>
      </c>
      <c r="L66" s="173">
        <f t="shared" si="64"/>
        <v>262</v>
      </c>
      <c r="M66" s="173">
        <f>IF($D66="","",'Total &amp; Budget Targets'!$G$44)</f>
        <v>0</v>
      </c>
      <c r="N66" s="173">
        <f>IF($D66="","",'Total &amp; Budget Targets'!$G$63)</f>
        <v>0</v>
      </c>
      <c r="O66" s="173">
        <f>IF($D66="","",'Total &amp; Budget Targets'!$G$69)</f>
        <v>0</v>
      </c>
    </row>
    <row r="67" spans="1:15" ht="15.75" customHeight="1" x14ac:dyDescent="0.2">
      <c r="A67" s="165">
        <f t="shared" si="3"/>
        <v>63</v>
      </c>
      <c r="B67" s="172"/>
      <c r="C67" s="169">
        <f>IF(D66="","",IF(D66+1&gt;'Date Info'!$D$21,"",D66+1))</f>
        <v>47574</v>
      </c>
      <c r="D67" s="172">
        <f>IFERROR(IF(C67="","",IF(EOMONTH(C67,0)&gt;'Date Info'!$D$21,'Date Info'!$D$21,EOMONTH(C67,0))),"")</f>
        <v>47603</v>
      </c>
      <c r="E67" s="173">
        <f>IF($D67="","",IFERROR(SUMIFS(Expenses!$E:$E,Expenses!$B:$B,"&gt;="&amp;$C67,Expenses!$B:$B,"&lt;="&amp;$D67),"na"))</f>
        <v>0</v>
      </c>
      <c r="F67" s="173">
        <f>IF($D67="","",IFERROR(SUMIFS(Income!$D:$D,Income!$B:$B,"&gt;="&amp;$C67,Income!$B:$B,"&lt;="&amp;$D67),"na"))</f>
        <v>0</v>
      </c>
      <c r="G67" s="173">
        <f t="shared" si="0"/>
        <v>0</v>
      </c>
      <c r="H67" s="174" t="str">
        <f t="shared" si="1"/>
        <v>na</v>
      </c>
      <c r="I67" s="174" t="str">
        <f t="shared" si="2"/>
        <v>na</v>
      </c>
      <c r="J67" s="173">
        <f t="shared" ref="J67:L67" si="65">IF(E67="","",J$5)</f>
        <v>38</v>
      </c>
      <c r="K67" s="173">
        <f t="shared" si="65"/>
        <v>300</v>
      </c>
      <c r="L67" s="173">
        <f t="shared" si="65"/>
        <v>262</v>
      </c>
      <c r="M67" s="173">
        <f>IF($D67="","",'Total &amp; Budget Targets'!$G$44)</f>
        <v>0</v>
      </c>
      <c r="N67" s="173">
        <f>IF($D67="","",'Total &amp; Budget Targets'!$G$63)</f>
        <v>0</v>
      </c>
      <c r="O67" s="173">
        <f>IF($D67="","",'Total &amp; Budget Targets'!$G$69)</f>
        <v>0</v>
      </c>
    </row>
    <row r="68" spans="1:15" ht="15.75" customHeight="1" x14ac:dyDescent="0.2">
      <c r="A68" s="165">
        <f t="shared" si="3"/>
        <v>64</v>
      </c>
      <c r="B68" s="172"/>
      <c r="C68" s="169">
        <f>IF(D67="","",IF(D67+1&gt;'Date Info'!$D$21,"",D67+1))</f>
        <v>47604</v>
      </c>
      <c r="D68" s="172">
        <f>IFERROR(IF(C68="","",IF(EOMONTH(C68,0)&gt;'Date Info'!$D$21,'Date Info'!$D$21,EOMONTH(C68,0))),"")</f>
        <v>47634</v>
      </c>
      <c r="E68" s="173">
        <f>IF($D68="","",IFERROR(SUMIFS(Expenses!$E:$E,Expenses!$B:$B,"&gt;="&amp;$C68,Expenses!$B:$B,"&lt;="&amp;$D68),"na"))</f>
        <v>0</v>
      </c>
      <c r="F68" s="173">
        <f>IF($D68="","",IFERROR(SUMIFS(Income!$D:$D,Income!$B:$B,"&gt;="&amp;$C68,Income!$B:$B,"&lt;="&amp;$D68),"na"))</f>
        <v>0</v>
      </c>
      <c r="G68" s="173">
        <f t="shared" si="0"/>
        <v>0</v>
      </c>
      <c r="H68" s="174" t="str">
        <f t="shared" si="1"/>
        <v>na</v>
      </c>
      <c r="I68" s="174" t="str">
        <f t="shared" si="2"/>
        <v>na</v>
      </c>
      <c r="J68" s="173">
        <f t="shared" ref="J68:L68" si="66">IF(E68="","",J$5)</f>
        <v>38</v>
      </c>
      <c r="K68" s="173">
        <f t="shared" si="66"/>
        <v>300</v>
      </c>
      <c r="L68" s="173">
        <f t="shared" si="66"/>
        <v>262</v>
      </c>
      <c r="M68" s="173">
        <f>IF($D68="","",'Total &amp; Budget Targets'!$G$44)</f>
        <v>0</v>
      </c>
      <c r="N68" s="173">
        <f>IF($D68="","",'Total &amp; Budget Targets'!$G$63)</f>
        <v>0</v>
      </c>
      <c r="O68" s="173">
        <f>IF($D68="","",'Total &amp; Budget Targets'!$G$69)</f>
        <v>0</v>
      </c>
    </row>
    <row r="69" spans="1:15" ht="15.75" customHeight="1" x14ac:dyDescent="0.2">
      <c r="A69" s="165">
        <f t="shared" si="3"/>
        <v>65</v>
      </c>
      <c r="B69" s="172"/>
      <c r="C69" s="169">
        <f>IF(D68="","",IF(D68+1&gt;'Date Info'!$D$21,"",D68+1))</f>
        <v>47635</v>
      </c>
      <c r="D69" s="172">
        <f>IFERROR(IF(C69="","",IF(EOMONTH(C69,0)&gt;'Date Info'!$D$21,'Date Info'!$D$21,EOMONTH(C69,0))),"")</f>
        <v>47664</v>
      </c>
      <c r="E69" s="173">
        <f>IF($D69="","",IFERROR(SUMIFS(Expenses!$E:$E,Expenses!$B:$B,"&gt;="&amp;$C69,Expenses!$B:$B,"&lt;="&amp;$D69),"na"))</f>
        <v>0</v>
      </c>
      <c r="F69" s="173">
        <f>IF($D69="","",IFERROR(SUMIFS(Income!$D:$D,Income!$B:$B,"&gt;="&amp;$C69,Income!$B:$B,"&lt;="&amp;$D69),"na"))</f>
        <v>0</v>
      </c>
      <c r="G69" s="173">
        <f t="shared" si="0"/>
        <v>0</v>
      </c>
      <c r="H69" s="174" t="str">
        <f t="shared" si="1"/>
        <v>na</v>
      </c>
      <c r="I69" s="174" t="str">
        <f t="shared" si="2"/>
        <v>na</v>
      </c>
      <c r="J69" s="173">
        <f t="shared" ref="J69:L69" si="67">IF(E69="","",J$5)</f>
        <v>38</v>
      </c>
      <c r="K69" s="173">
        <f t="shared" si="67"/>
        <v>300</v>
      </c>
      <c r="L69" s="173">
        <f t="shared" si="67"/>
        <v>262</v>
      </c>
      <c r="M69" s="173">
        <f>IF($D69="","",'Total &amp; Budget Targets'!$G$44)</f>
        <v>0</v>
      </c>
      <c r="N69" s="173">
        <f>IF($D69="","",'Total &amp; Budget Targets'!$G$63)</f>
        <v>0</v>
      </c>
      <c r="O69" s="173">
        <f>IF($D69="","",'Total &amp; Budget Targets'!$G$69)</f>
        <v>0</v>
      </c>
    </row>
    <row r="70" spans="1:15" ht="15.75" customHeight="1" x14ac:dyDescent="0.2">
      <c r="A70" s="165">
        <f t="shared" si="3"/>
        <v>66</v>
      </c>
      <c r="B70" s="172"/>
      <c r="C70" s="169">
        <f>IF(D69="","",IF(D69+1&gt;'Date Info'!$D$21,"",D69+1))</f>
        <v>47665</v>
      </c>
      <c r="D70" s="172">
        <f>IFERROR(IF(C70="","",IF(EOMONTH(C70,0)&gt;'Date Info'!$D$21,'Date Info'!$D$21,EOMONTH(C70,0))),"")</f>
        <v>47695</v>
      </c>
      <c r="E70" s="173">
        <f>IF($D70="","",IFERROR(SUMIFS(Expenses!$E:$E,Expenses!$B:$B,"&gt;="&amp;$C70,Expenses!$B:$B,"&lt;="&amp;$D70),"na"))</f>
        <v>0</v>
      </c>
      <c r="F70" s="173">
        <f>IF($D70="","",IFERROR(SUMIFS(Income!$D:$D,Income!$B:$B,"&gt;="&amp;$C70,Income!$B:$B,"&lt;="&amp;$D70),"na"))</f>
        <v>0</v>
      </c>
      <c r="G70" s="173">
        <f t="shared" si="0"/>
        <v>0</v>
      </c>
      <c r="H70" s="174" t="str">
        <f t="shared" si="1"/>
        <v>na</v>
      </c>
      <c r="I70" s="174" t="str">
        <f t="shared" si="2"/>
        <v>na</v>
      </c>
      <c r="J70" s="173">
        <f t="shared" ref="J70:L70" si="68">IF(E70="","",J$5)</f>
        <v>38</v>
      </c>
      <c r="K70" s="173">
        <f t="shared" si="68"/>
        <v>300</v>
      </c>
      <c r="L70" s="173">
        <f t="shared" si="68"/>
        <v>262</v>
      </c>
      <c r="M70" s="173">
        <f>IF($D70="","",'Total &amp; Budget Targets'!$G$44)</f>
        <v>0</v>
      </c>
      <c r="N70" s="173">
        <f>IF($D70="","",'Total &amp; Budget Targets'!$G$63)</f>
        <v>0</v>
      </c>
      <c r="O70" s="173">
        <f>IF($D70="","",'Total &amp; Budget Targets'!$G$69)</f>
        <v>0</v>
      </c>
    </row>
    <row r="71" spans="1:15" ht="15.75" customHeight="1" x14ac:dyDescent="0.2">
      <c r="A71" s="165">
        <f t="shared" si="3"/>
        <v>67</v>
      </c>
      <c r="B71" s="172"/>
      <c r="C71" s="169">
        <f>IF(D70="","",IF(D70+1&gt;'Date Info'!$D$21,"",D70+1))</f>
        <v>47696</v>
      </c>
      <c r="D71" s="172">
        <f>IFERROR(IF(C71="","",IF(EOMONTH(C71,0)&gt;'Date Info'!$D$21,'Date Info'!$D$21,EOMONTH(C71,0))),"")</f>
        <v>47726</v>
      </c>
      <c r="E71" s="173">
        <f>IF($D71="","",IFERROR(SUMIFS(Expenses!$E:$E,Expenses!$B:$B,"&gt;="&amp;$C71,Expenses!$B:$B,"&lt;="&amp;$D71),"na"))</f>
        <v>0</v>
      </c>
      <c r="F71" s="173">
        <f>IF($D71="","",IFERROR(SUMIFS(Income!$D:$D,Income!$B:$B,"&gt;="&amp;$C71,Income!$B:$B,"&lt;="&amp;$D71),"na"))</f>
        <v>0</v>
      </c>
      <c r="G71" s="173">
        <f t="shared" si="0"/>
        <v>0</v>
      </c>
      <c r="H71" s="174" t="str">
        <f t="shared" si="1"/>
        <v>na</v>
      </c>
      <c r="I71" s="174" t="str">
        <f t="shared" si="2"/>
        <v>na</v>
      </c>
      <c r="J71" s="173">
        <f t="shared" ref="J71:L71" si="69">IF(E71="","",J$5)</f>
        <v>38</v>
      </c>
      <c r="K71" s="173">
        <f t="shared" si="69"/>
        <v>300</v>
      </c>
      <c r="L71" s="173">
        <f t="shared" si="69"/>
        <v>262</v>
      </c>
      <c r="M71" s="173">
        <f>IF($D71="","",'Total &amp; Budget Targets'!$G$44)</f>
        <v>0</v>
      </c>
      <c r="N71" s="173">
        <f>IF($D71="","",'Total &amp; Budget Targets'!$G$63)</f>
        <v>0</v>
      </c>
      <c r="O71" s="173">
        <f>IF($D71="","",'Total &amp; Budget Targets'!$G$69)</f>
        <v>0</v>
      </c>
    </row>
    <row r="72" spans="1:15" ht="15.75" customHeight="1" x14ac:dyDescent="0.2">
      <c r="A72" s="165">
        <f t="shared" si="3"/>
        <v>68</v>
      </c>
      <c r="B72" s="172"/>
      <c r="C72" s="169">
        <f>IF(D71="","",IF(D71+1&gt;'Date Info'!$D$21,"",D71+1))</f>
        <v>47727</v>
      </c>
      <c r="D72" s="172">
        <f>IFERROR(IF(C72="","",IF(EOMONTH(C72,0)&gt;'Date Info'!$D$21,'Date Info'!$D$21,EOMONTH(C72,0))),"")</f>
        <v>47756</v>
      </c>
      <c r="E72" s="173">
        <f>IF($D72="","",IFERROR(SUMIFS(Expenses!$E:$E,Expenses!$B:$B,"&gt;="&amp;$C72,Expenses!$B:$B,"&lt;="&amp;$D72),"na"))</f>
        <v>0</v>
      </c>
      <c r="F72" s="173">
        <f>IF($D72="","",IFERROR(SUMIFS(Income!$D:$D,Income!$B:$B,"&gt;="&amp;$C72,Income!$B:$B,"&lt;="&amp;$D72),"na"))</f>
        <v>0</v>
      </c>
      <c r="G72" s="173">
        <f t="shared" si="0"/>
        <v>0</v>
      </c>
      <c r="H72" s="174" t="str">
        <f t="shared" si="1"/>
        <v>na</v>
      </c>
      <c r="I72" s="174" t="str">
        <f t="shared" si="2"/>
        <v>na</v>
      </c>
      <c r="J72" s="173">
        <f t="shared" ref="J72:L72" si="70">IF(E72="","",J$5)</f>
        <v>38</v>
      </c>
      <c r="K72" s="173">
        <f t="shared" si="70"/>
        <v>300</v>
      </c>
      <c r="L72" s="173">
        <f t="shared" si="70"/>
        <v>262</v>
      </c>
      <c r="M72" s="173">
        <f>IF($D72="","",'Total &amp; Budget Targets'!$G$44)</f>
        <v>0</v>
      </c>
      <c r="N72" s="173">
        <f>IF($D72="","",'Total &amp; Budget Targets'!$G$63)</f>
        <v>0</v>
      </c>
      <c r="O72" s="173">
        <f>IF($D72="","",'Total &amp; Budget Targets'!$G$69)</f>
        <v>0</v>
      </c>
    </row>
    <row r="73" spans="1:15" ht="15.75" customHeight="1" x14ac:dyDescent="0.2">
      <c r="A73" s="165">
        <f t="shared" si="3"/>
        <v>69</v>
      </c>
      <c r="B73" s="172"/>
      <c r="C73" s="169">
        <f>IF(D72="","",IF(D72+1&gt;'Date Info'!$D$21,"",D72+1))</f>
        <v>47757</v>
      </c>
      <c r="D73" s="172">
        <f>IFERROR(IF(C73="","",IF(EOMONTH(C73,0)&gt;'Date Info'!$D$21,'Date Info'!$D$21,EOMONTH(C73,0))),"")</f>
        <v>47787</v>
      </c>
      <c r="E73" s="173">
        <f>IF($D73="","",IFERROR(SUMIFS(Expenses!$E:$E,Expenses!$B:$B,"&gt;="&amp;$C73,Expenses!$B:$B,"&lt;="&amp;$D73),"na"))</f>
        <v>0</v>
      </c>
      <c r="F73" s="173">
        <f>IF($D73="","",IFERROR(SUMIFS(Income!$D:$D,Income!$B:$B,"&gt;="&amp;$C73,Income!$B:$B,"&lt;="&amp;$D73),"na"))</f>
        <v>0</v>
      </c>
      <c r="G73" s="173">
        <f t="shared" si="0"/>
        <v>0</v>
      </c>
      <c r="H73" s="174" t="str">
        <f t="shared" si="1"/>
        <v>na</v>
      </c>
      <c r="I73" s="174" t="str">
        <f t="shared" si="2"/>
        <v>na</v>
      </c>
      <c r="J73" s="173">
        <f t="shared" ref="J73:L73" si="71">IF(E73="","",J$5)</f>
        <v>38</v>
      </c>
      <c r="K73" s="173">
        <f t="shared" si="71"/>
        <v>300</v>
      </c>
      <c r="L73" s="173">
        <f t="shared" si="71"/>
        <v>262</v>
      </c>
      <c r="M73" s="173">
        <f>IF($D73="","",'Total &amp; Budget Targets'!$G$44)</f>
        <v>0</v>
      </c>
      <c r="N73" s="173">
        <f>IF($D73="","",'Total &amp; Budget Targets'!$G$63)</f>
        <v>0</v>
      </c>
      <c r="O73" s="173">
        <f>IF($D73="","",'Total &amp; Budget Targets'!$G$69)</f>
        <v>0</v>
      </c>
    </row>
    <row r="74" spans="1:15" ht="15.75" customHeight="1" x14ac:dyDescent="0.2">
      <c r="A74" s="165">
        <f t="shared" si="3"/>
        <v>70</v>
      </c>
      <c r="B74" s="172"/>
      <c r="C74" s="169">
        <f>IF(D73="","",IF(D73+1&gt;'Date Info'!$D$21,"",D73+1))</f>
        <v>47788</v>
      </c>
      <c r="D74" s="172">
        <f>IFERROR(IF(C74="","",IF(EOMONTH(C74,0)&gt;'Date Info'!$D$21,'Date Info'!$D$21,EOMONTH(C74,0))),"")</f>
        <v>47817</v>
      </c>
      <c r="E74" s="173">
        <f>IF($D74="","",IFERROR(SUMIFS(Expenses!$E:$E,Expenses!$B:$B,"&gt;="&amp;$C74,Expenses!$B:$B,"&lt;="&amp;$D74),"na"))</f>
        <v>0</v>
      </c>
      <c r="F74" s="173">
        <f>IF($D74="","",IFERROR(SUMIFS(Income!$D:$D,Income!$B:$B,"&gt;="&amp;$C74,Income!$B:$B,"&lt;="&amp;$D74),"na"))</f>
        <v>0</v>
      </c>
      <c r="G74" s="173">
        <f t="shared" si="0"/>
        <v>0</v>
      </c>
      <c r="H74" s="174" t="str">
        <f t="shared" si="1"/>
        <v>na</v>
      </c>
      <c r="I74" s="174" t="str">
        <f t="shared" si="2"/>
        <v>na</v>
      </c>
      <c r="J74" s="173">
        <f t="shared" ref="J74:L74" si="72">IF(E74="","",J$5)</f>
        <v>38</v>
      </c>
      <c r="K74" s="173">
        <f t="shared" si="72"/>
        <v>300</v>
      </c>
      <c r="L74" s="173">
        <f t="shared" si="72"/>
        <v>262</v>
      </c>
      <c r="M74" s="173">
        <f>IF($D74="","",'Total &amp; Budget Targets'!$G$44)</f>
        <v>0</v>
      </c>
      <c r="N74" s="173">
        <f>IF($D74="","",'Total &amp; Budget Targets'!$G$63)</f>
        <v>0</v>
      </c>
      <c r="O74" s="173">
        <f>IF($D74="","",'Total &amp; Budget Targets'!$G$69)</f>
        <v>0</v>
      </c>
    </row>
    <row r="75" spans="1:15" ht="15.75" customHeight="1" x14ac:dyDescent="0.2">
      <c r="A75" s="165">
        <f t="shared" si="3"/>
        <v>71</v>
      </c>
      <c r="B75" s="172"/>
      <c r="C75" s="169">
        <f>IF(D74="","",IF(D74+1&gt;'Date Info'!$D$21,"",D74+1))</f>
        <v>47818</v>
      </c>
      <c r="D75" s="172">
        <f>IFERROR(IF(C75="","",IF(EOMONTH(C75,0)&gt;'Date Info'!$D$21,'Date Info'!$D$21,EOMONTH(C75,0))),"")</f>
        <v>47848</v>
      </c>
      <c r="E75" s="173">
        <f>IF($D75="","",IFERROR(SUMIFS(Expenses!$E:$E,Expenses!$B:$B,"&gt;="&amp;$C75,Expenses!$B:$B,"&lt;="&amp;$D75),"na"))</f>
        <v>0</v>
      </c>
      <c r="F75" s="173">
        <f>IF($D75="","",IFERROR(SUMIFS(Income!$D:$D,Income!$B:$B,"&gt;="&amp;$C75,Income!$B:$B,"&lt;="&amp;$D75),"na"))</f>
        <v>0</v>
      </c>
      <c r="G75" s="173">
        <f t="shared" si="0"/>
        <v>0</v>
      </c>
      <c r="H75" s="174" t="str">
        <f t="shared" si="1"/>
        <v>na</v>
      </c>
      <c r="I75" s="174" t="str">
        <f t="shared" si="2"/>
        <v>na</v>
      </c>
      <c r="J75" s="173">
        <f t="shared" ref="J75:L75" si="73">IF(E75="","",J$5)</f>
        <v>38</v>
      </c>
      <c r="K75" s="173">
        <f t="shared" si="73"/>
        <v>300</v>
      </c>
      <c r="L75" s="173">
        <f t="shared" si="73"/>
        <v>262</v>
      </c>
      <c r="M75" s="173">
        <f>IF($D75="","",'Total &amp; Budget Targets'!$G$44)</f>
        <v>0</v>
      </c>
      <c r="N75" s="173">
        <f>IF($D75="","",'Total &amp; Budget Targets'!$G$63)</f>
        <v>0</v>
      </c>
      <c r="O75" s="173">
        <f>IF($D75="","",'Total &amp; Budget Targets'!$G$69)</f>
        <v>0</v>
      </c>
    </row>
    <row r="76" spans="1:15" ht="15.75" customHeight="1" x14ac:dyDescent="0.2">
      <c r="A76" s="165">
        <f t="shared" si="3"/>
        <v>72</v>
      </c>
      <c r="B76" s="172"/>
      <c r="C76" s="169">
        <f>IF(D75="","",IF(D75+1&gt;'Date Info'!$D$21,"",D75+1))</f>
        <v>47849</v>
      </c>
      <c r="D76" s="172">
        <f>IFERROR(IF(C76="","",IF(EOMONTH(C76,0)&gt;'Date Info'!$D$21,'Date Info'!$D$21,EOMONTH(C76,0))),"")</f>
        <v>47879</v>
      </c>
      <c r="E76" s="173">
        <f>IF($D76="","",IFERROR(SUMIFS(Expenses!$E:$E,Expenses!$B:$B,"&gt;="&amp;$C76,Expenses!$B:$B,"&lt;="&amp;$D76),"na"))</f>
        <v>0</v>
      </c>
      <c r="F76" s="173">
        <f>IF($D76="","",IFERROR(SUMIFS(Income!$D:$D,Income!$B:$B,"&gt;="&amp;$C76,Income!$B:$B,"&lt;="&amp;$D76),"na"))</f>
        <v>0</v>
      </c>
      <c r="G76" s="173">
        <f t="shared" si="0"/>
        <v>0</v>
      </c>
      <c r="H76" s="174" t="str">
        <f t="shared" si="1"/>
        <v>na</v>
      </c>
      <c r="I76" s="174" t="str">
        <f t="shared" si="2"/>
        <v>na</v>
      </c>
      <c r="J76" s="173">
        <f t="shared" ref="J76:L76" si="74">IF(E76="","",J$5)</f>
        <v>38</v>
      </c>
      <c r="K76" s="173">
        <f t="shared" si="74"/>
        <v>300</v>
      </c>
      <c r="L76" s="173">
        <f t="shared" si="74"/>
        <v>262</v>
      </c>
      <c r="M76" s="173">
        <f>IF($D76="","",'Total &amp; Budget Targets'!$G$44)</f>
        <v>0</v>
      </c>
      <c r="N76" s="173">
        <f>IF($D76="","",'Total &amp; Budget Targets'!$G$63)</f>
        <v>0</v>
      </c>
      <c r="O76" s="173">
        <f>IF($D76="","",'Total &amp; Budget Targets'!$G$69)</f>
        <v>0</v>
      </c>
    </row>
    <row r="77" spans="1:15" ht="15.75" customHeight="1" x14ac:dyDescent="0.2">
      <c r="A77" s="165">
        <f t="shared" si="3"/>
        <v>73</v>
      </c>
      <c r="B77" s="172"/>
      <c r="C77" s="169">
        <f>IF(D76="","",IF(D76+1&gt;'Date Info'!$D$21,"",D76+1))</f>
        <v>47880</v>
      </c>
      <c r="D77" s="172">
        <f>IFERROR(IF(C77="","",IF(EOMONTH(C77,0)&gt;'Date Info'!$D$21,'Date Info'!$D$21,EOMONTH(C77,0))),"")</f>
        <v>47907</v>
      </c>
      <c r="E77" s="173">
        <f>IF($D77="","",IFERROR(SUMIFS(Expenses!$E:$E,Expenses!$B:$B,"&gt;="&amp;$C77,Expenses!$B:$B,"&lt;="&amp;$D77),"na"))</f>
        <v>0</v>
      </c>
      <c r="F77" s="173">
        <f>IF($D77="","",IFERROR(SUMIFS(Income!$D:$D,Income!$B:$B,"&gt;="&amp;$C77,Income!$B:$B,"&lt;="&amp;$D77),"na"))</f>
        <v>0</v>
      </c>
      <c r="G77" s="173">
        <f t="shared" si="0"/>
        <v>0</v>
      </c>
      <c r="H77" s="174" t="str">
        <f t="shared" si="1"/>
        <v>na</v>
      </c>
      <c r="I77" s="174" t="str">
        <f t="shared" si="2"/>
        <v>na</v>
      </c>
      <c r="J77" s="173">
        <f t="shared" ref="J77:L77" si="75">IF(E77="","",J$5)</f>
        <v>38</v>
      </c>
      <c r="K77" s="173">
        <f t="shared" si="75"/>
        <v>300</v>
      </c>
      <c r="L77" s="173">
        <f t="shared" si="75"/>
        <v>262</v>
      </c>
      <c r="M77" s="173">
        <f>IF($D77="","",'Total &amp; Budget Targets'!$G$44)</f>
        <v>0</v>
      </c>
      <c r="N77" s="173">
        <f>IF($D77="","",'Total &amp; Budget Targets'!$G$63)</f>
        <v>0</v>
      </c>
      <c r="O77" s="173">
        <f>IF($D77="","",'Total &amp; Budget Targets'!$G$69)</f>
        <v>0</v>
      </c>
    </row>
    <row r="78" spans="1:15" ht="15.75" customHeight="1" x14ac:dyDescent="0.2">
      <c r="A78" s="165">
        <f t="shared" si="3"/>
        <v>74</v>
      </c>
      <c r="B78" s="172"/>
      <c r="C78" s="169">
        <f>IF(D77="","",IF(D77+1&gt;'Date Info'!$D$21,"",D77+1))</f>
        <v>47908</v>
      </c>
      <c r="D78" s="172">
        <f>IFERROR(IF(C78="","",IF(EOMONTH(C78,0)&gt;'Date Info'!$D$21,'Date Info'!$D$21,EOMONTH(C78,0))),"")</f>
        <v>47938</v>
      </c>
      <c r="E78" s="173">
        <f>IF($D78="","",IFERROR(SUMIFS(Expenses!$E:$E,Expenses!$B:$B,"&gt;="&amp;$C78,Expenses!$B:$B,"&lt;="&amp;$D78),"na"))</f>
        <v>0</v>
      </c>
      <c r="F78" s="173">
        <f>IF($D78="","",IFERROR(SUMIFS(Income!$D:$D,Income!$B:$B,"&gt;="&amp;$C78,Income!$B:$B,"&lt;="&amp;$D78),"na"))</f>
        <v>0</v>
      </c>
      <c r="G78" s="173">
        <f t="shared" si="0"/>
        <v>0</v>
      </c>
      <c r="H78" s="174" t="str">
        <f t="shared" si="1"/>
        <v>na</v>
      </c>
      <c r="I78" s="174" t="str">
        <f t="shared" si="2"/>
        <v>na</v>
      </c>
      <c r="J78" s="173">
        <f t="shared" ref="J78:L78" si="76">IF(E78="","",J$5)</f>
        <v>38</v>
      </c>
      <c r="K78" s="173">
        <f t="shared" si="76"/>
        <v>300</v>
      </c>
      <c r="L78" s="173">
        <f t="shared" si="76"/>
        <v>262</v>
      </c>
      <c r="M78" s="173">
        <f>IF($D78="","",'Total &amp; Budget Targets'!$G$44)</f>
        <v>0</v>
      </c>
      <c r="N78" s="173">
        <f>IF($D78="","",'Total &amp; Budget Targets'!$G$63)</f>
        <v>0</v>
      </c>
      <c r="O78" s="173">
        <f>IF($D78="","",'Total &amp; Budget Targets'!$G$69)</f>
        <v>0</v>
      </c>
    </row>
    <row r="79" spans="1:15" ht="15.75" customHeight="1" x14ac:dyDescent="0.2">
      <c r="A79" s="165">
        <f t="shared" si="3"/>
        <v>75</v>
      </c>
      <c r="B79" s="172"/>
      <c r="C79" s="169">
        <f>IF(D78="","",IF(D78+1&gt;'Date Info'!$D$21,"",D78+1))</f>
        <v>47939</v>
      </c>
      <c r="D79" s="172">
        <f>IFERROR(IF(C79="","",IF(EOMONTH(C79,0)&gt;'Date Info'!$D$21,'Date Info'!$D$21,EOMONTH(C79,0))),"")</f>
        <v>47968</v>
      </c>
      <c r="E79" s="173">
        <f>IF($D79="","",IFERROR(SUMIFS(Expenses!$E:$E,Expenses!$B:$B,"&gt;="&amp;$C79,Expenses!$B:$B,"&lt;="&amp;$D79),"na"))</f>
        <v>0</v>
      </c>
      <c r="F79" s="173">
        <f>IF($D79="","",IFERROR(SUMIFS(Income!$D:$D,Income!$B:$B,"&gt;="&amp;$C79,Income!$B:$B,"&lt;="&amp;$D79),"na"))</f>
        <v>0</v>
      </c>
      <c r="G79" s="173">
        <f t="shared" si="0"/>
        <v>0</v>
      </c>
      <c r="H79" s="174" t="str">
        <f t="shared" si="1"/>
        <v>na</v>
      </c>
      <c r="I79" s="174" t="str">
        <f t="shared" si="2"/>
        <v>na</v>
      </c>
      <c r="J79" s="173">
        <f t="shared" ref="J79:L79" si="77">IF(E79="","",J$5)</f>
        <v>38</v>
      </c>
      <c r="K79" s="173">
        <f t="shared" si="77"/>
        <v>300</v>
      </c>
      <c r="L79" s="173">
        <f t="shared" si="77"/>
        <v>262</v>
      </c>
      <c r="M79" s="173">
        <f>IF($D79="","",'Total &amp; Budget Targets'!$G$44)</f>
        <v>0</v>
      </c>
      <c r="N79" s="173">
        <f>IF($D79="","",'Total &amp; Budget Targets'!$G$63)</f>
        <v>0</v>
      </c>
      <c r="O79" s="173">
        <f>IF($D79="","",'Total &amp; Budget Targets'!$G$69)</f>
        <v>0</v>
      </c>
    </row>
    <row r="80" spans="1:15" ht="15.75" customHeight="1" x14ac:dyDescent="0.2">
      <c r="A80" s="165">
        <f t="shared" si="3"/>
        <v>76</v>
      </c>
      <c r="B80" s="172"/>
      <c r="C80" s="169">
        <f>IF(D79="","",IF(D79+1&gt;'Date Info'!$D$21,"",D79+1))</f>
        <v>47969</v>
      </c>
      <c r="D80" s="172">
        <f>IFERROR(IF(C80="","",IF(EOMONTH(C80,0)&gt;'Date Info'!$D$21,'Date Info'!$D$21,EOMONTH(C80,0))),"")</f>
        <v>47999</v>
      </c>
      <c r="E80" s="173">
        <f>IF($D80="","",IFERROR(SUMIFS(Expenses!$E:$E,Expenses!$B:$B,"&gt;="&amp;$C80,Expenses!$B:$B,"&lt;="&amp;$D80),"na"))</f>
        <v>0</v>
      </c>
      <c r="F80" s="173">
        <f>IF($D80="","",IFERROR(SUMIFS(Income!$D:$D,Income!$B:$B,"&gt;="&amp;$C80,Income!$B:$B,"&lt;="&amp;$D80),"na"))</f>
        <v>0</v>
      </c>
      <c r="G80" s="173">
        <f t="shared" si="0"/>
        <v>0</v>
      </c>
      <c r="H80" s="174" t="str">
        <f t="shared" si="1"/>
        <v>na</v>
      </c>
      <c r="I80" s="174" t="str">
        <f t="shared" si="2"/>
        <v>na</v>
      </c>
      <c r="J80" s="173">
        <f t="shared" ref="J80:L80" si="78">IF(E80="","",J$5)</f>
        <v>38</v>
      </c>
      <c r="K80" s="173">
        <f t="shared" si="78"/>
        <v>300</v>
      </c>
      <c r="L80" s="173">
        <f t="shared" si="78"/>
        <v>262</v>
      </c>
      <c r="M80" s="173">
        <f>IF($D80="","",'Total &amp; Budget Targets'!$G$44)</f>
        <v>0</v>
      </c>
      <c r="N80" s="173">
        <f>IF($D80="","",'Total &amp; Budget Targets'!$G$63)</f>
        <v>0</v>
      </c>
      <c r="O80" s="173">
        <f>IF($D80="","",'Total &amp; Budget Targets'!$G$69)</f>
        <v>0</v>
      </c>
    </row>
    <row r="81" spans="1:15" ht="15.75" customHeight="1" x14ac:dyDescent="0.2">
      <c r="A81" s="165">
        <f t="shared" si="3"/>
        <v>77</v>
      </c>
      <c r="B81" s="172"/>
      <c r="C81" s="169">
        <f>IF(D80="","",IF(D80+1&gt;'Date Info'!$D$21,"",D80+1))</f>
        <v>48000</v>
      </c>
      <c r="D81" s="172">
        <f>IFERROR(IF(C81="","",IF(EOMONTH(C81,0)&gt;'Date Info'!$D$21,'Date Info'!$D$21,EOMONTH(C81,0))),"")</f>
        <v>48029</v>
      </c>
      <c r="E81" s="173">
        <f>IF($D81="","",IFERROR(SUMIFS(Expenses!$E:$E,Expenses!$B:$B,"&gt;="&amp;$C81,Expenses!$B:$B,"&lt;="&amp;$D81),"na"))</f>
        <v>0</v>
      </c>
      <c r="F81" s="173">
        <f>IF($D81="","",IFERROR(SUMIFS(Income!$D:$D,Income!$B:$B,"&gt;="&amp;$C81,Income!$B:$B,"&lt;="&amp;$D81),"na"))</f>
        <v>0</v>
      </c>
      <c r="G81" s="173">
        <f t="shared" si="0"/>
        <v>0</v>
      </c>
      <c r="H81" s="174" t="str">
        <f t="shared" si="1"/>
        <v>na</v>
      </c>
      <c r="I81" s="174" t="str">
        <f t="shared" si="2"/>
        <v>na</v>
      </c>
      <c r="J81" s="173">
        <f t="shared" ref="J81:L81" si="79">IF(E81="","",J$5)</f>
        <v>38</v>
      </c>
      <c r="K81" s="173">
        <f t="shared" si="79"/>
        <v>300</v>
      </c>
      <c r="L81" s="173">
        <f t="shared" si="79"/>
        <v>262</v>
      </c>
      <c r="M81" s="173">
        <f>IF($D81="","",'Total &amp; Budget Targets'!$G$44)</f>
        <v>0</v>
      </c>
      <c r="N81" s="173">
        <f>IF($D81="","",'Total &amp; Budget Targets'!$G$63)</f>
        <v>0</v>
      </c>
      <c r="O81" s="173">
        <f>IF($D81="","",'Total &amp; Budget Targets'!$G$69)</f>
        <v>0</v>
      </c>
    </row>
    <row r="82" spans="1:15" ht="15.75" customHeight="1" x14ac:dyDescent="0.2">
      <c r="A82" s="165">
        <f t="shared" si="3"/>
        <v>78</v>
      </c>
      <c r="B82" s="172"/>
      <c r="C82" s="169">
        <f>IF(D81="","",IF(D81+1&gt;'Date Info'!$D$21,"",D81+1))</f>
        <v>48030</v>
      </c>
      <c r="D82" s="172">
        <f>IFERROR(IF(C82="","",IF(EOMONTH(C82,0)&gt;'Date Info'!$D$21,'Date Info'!$D$21,EOMONTH(C82,0))),"")</f>
        <v>48060</v>
      </c>
      <c r="E82" s="173">
        <f>IF($D82="","",IFERROR(SUMIFS(Expenses!$E:$E,Expenses!$B:$B,"&gt;="&amp;$C82,Expenses!$B:$B,"&lt;="&amp;$D82),"na"))</f>
        <v>0</v>
      </c>
      <c r="F82" s="173">
        <f>IF($D82="","",IFERROR(SUMIFS(Income!$D:$D,Income!$B:$B,"&gt;="&amp;$C82,Income!$B:$B,"&lt;="&amp;$D82),"na"))</f>
        <v>0</v>
      </c>
      <c r="G82" s="173">
        <f t="shared" si="0"/>
        <v>0</v>
      </c>
      <c r="H82" s="174" t="str">
        <f t="shared" si="1"/>
        <v>na</v>
      </c>
      <c r="I82" s="174" t="str">
        <f t="shared" si="2"/>
        <v>na</v>
      </c>
      <c r="J82" s="173">
        <f t="shared" ref="J82:L82" si="80">IF(E82="","",J$5)</f>
        <v>38</v>
      </c>
      <c r="K82" s="173">
        <f t="shared" si="80"/>
        <v>300</v>
      </c>
      <c r="L82" s="173">
        <f t="shared" si="80"/>
        <v>262</v>
      </c>
      <c r="M82" s="173">
        <f>IF($D82="","",'Total &amp; Budget Targets'!$G$44)</f>
        <v>0</v>
      </c>
      <c r="N82" s="173">
        <f>IF($D82="","",'Total &amp; Budget Targets'!$G$63)</f>
        <v>0</v>
      </c>
      <c r="O82" s="173">
        <f>IF($D82="","",'Total &amp; Budget Targets'!$G$69)</f>
        <v>0</v>
      </c>
    </row>
    <row r="83" spans="1:15" ht="15.75" customHeight="1" x14ac:dyDescent="0.2">
      <c r="A83" s="165">
        <f t="shared" si="3"/>
        <v>79</v>
      </c>
      <c r="B83" s="172"/>
      <c r="C83" s="169">
        <f>IF(D82="","",IF(D82+1&gt;'Date Info'!$D$21,"",D82+1))</f>
        <v>48061</v>
      </c>
      <c r="D83" s="172">
        <f>IFERROR(IF(C83="","",IF(EOMONTH(C83,0)&gt;'Date Info'!$D$21,'Date Info'!$D$21,EOMONTH(C83,0))),"")</f>
        <v>48091</v>
      </c>
      <c r="E83" s="173">
        <f>IF($D83="","",IFERROR(SUMIFS(Expenses!$E:$E,Expenses!$B:$B,"&gt;="&amp;$C83,Expenses!$B:$B,"&lt;="&amp;$D83),"na"))</f>
        <v>0</v>
      </c>
      <c r="F83" s="173">
        <f>IF($D83="","",IFERROR(SUMIFS(Income!$D:$D,Income!$B:$B,"&gt;="&amp;$C83,Income!$B:$B,"&lt;="&amp;$D83),"na"))</f>
        <v>0</v>
      </c>
      <c r="G83" s="173">
        <f t="shared" si="0"/>
        <v>0</v>
      </c>
      <c r="H83" s="174" t="str">
        <f t="shared" si="1"/>
        <v>na</v>
      </c>
      <c r="I83" s="174" t="str">
        <f t="shared" si="2"/>
        <v>na</v>
      </c>
      <c r="J83" s="173">
        <f t="shared" ref="J83:L83" si="81">IF(E83="","",J$5)</f>
        <v>38</v>
      </c>
      <c r="K83" s="173">
        <f t="shared" si="81"/>
        <v>300</v>
      </c>
      <c r="L83" s="173">
        <f t="shared" si="81"/>
        <v>262</v>
      </c>
      <c r="M83" s="173">
        <f>IF($D83="","",'Total &amp; Budget Targets'!$G$44)</f>
        <v>0</v>
      </c>
      <c r="N83" s="173">
        <f>IF($D83="","",'Total &amp; Budget Targets'!$G$63)</f>
        <v>0</v>
      </c>
      <c r="O83" s="173">
        <f>IF($D83="","",'Total &amp; Budget Targets'!$G$69)</f>
        <v>0</v>
      </c>
    </row>
    <row r="84" spans="1:15" ht="15.75" customHeight="1" x14ac:dyDescent="0.2">
      <c r="A84" s="165">
        <f t="shared" si="3"/>
        <v>80</v>
      </c>
      <c r="B84" s="172"/>
      <c r="C84" s="169">
        <f>IF(D83="","",IF(D83+1&gt;'Date Info'!$D$21,"",D83+1))</f>
        <v>48092</v>
      </c>
      <c r="D84" s="172">
        <f>IFERROR(IF(C84="","",IF(EOMONTH(C84,0)&gt;'Date Info'!$D$21,'Date Info'!$D$21,EOMONTH(C84,0))),"")</f>
        <v>48121</v>
      </c>
      <c r="E84" s="173">
        <f>IF($D84="","",IFERROR(SUMIFS(Expenses!$E:$E,Expenses!$B:$B,"&gt;="&amp;$C84,Expenses!$B:$B,"&lt;="&amp;$D84),"na"))</f>
        <v>0</v>
      </c>
      <c r="F84" s="173">
        <f>IF($D84="","",IFERROR(SUMIFS(Income!$D:$D,Income!$B:$B,"&gt;="&amp;$C84,Income!$B:$B,"&lt;="&amp;$D84),"na"))</f>
        <v>0</v>
      </c>
      <c r="G84" s="173">
        <f t="shared" si="0"/>
        <v>0</v>
      </c>
      <c r="H84" s="174" t="str">
        <f t="shared" si="1"/>
        <v>na</v>
      </c>
      <c r="I84" s="174" t="str">
        <f t="shared" si="2"/>
        <v>na</v>
      </c>
      <c r="J84" s="173">
        <f t="shared" ref="J84:L84" si="82">IF(E84="","",J$5)</f>
        <v>38</v>
      </c>
      <c r="K84" s="173">
        <f t="shared" si="82"/>
        <v>300</v>
      </c>
      <c r="L84" s="173">
        <f t="shared" si="82"/>
        <v>262</v>
      </c>
      <c r="M84" s="173">
        <f>IF($D84="","",'Total &amp; Budget Targets'!$G$44)</f>
        <v>0</v>
      </c>
      <c r="N84" s="173">
        <f>IF($D84="","",'Total &amp; Budget Targets'!$G$63)</f>
        <v>0</v>
      </c>
      <c r="O84" s="173">
        <f>IF($D84="","",'Total &amp; Budget Targets'!$G$69)</f>
        <v>0</v>
      </c>
    </row>
    <row r="85" spans="1:15" ht="15.75" customHeight="1" x14ac:dyDescent="0.2">
      <c r="A85" s="165">
        <f t="shared" si="3"/>
        <v>81</v>
      </c>
      <c r="B85" s="172"/>
      <c r="C85" s="169">
        <f>IF(D84="","",IF(D84+1&gt;'Date Info'!$D$21,"",D84+1))</f>
        <v>48122</v>
      </c>
      <c r="D85" s="172">
        <f>IFERROR(IF(C85="","",IF(EOMONTH(C85,0)&gt;'Date Info'!$D$21,'Date Info'!$D$21,EOMONTH(C85,0))),"")</f>
        <v>48152</v>
      </c>
      <c r="E85" s="173">
        <f>IF($D85="","",IFERROR(SUMIFS(Expenses!$E:$E,Expenses!$B:$B,"&gt;="&amp;$C85,Expenses!$B:$B,"&lt;="&amp;$D85),"na"))</f>
        <v>0</v>
      </c>
      <c r="F85" s="173">
        <f>IF($D85="","",IFERROR(SUMIFS(Income!$D:$D,Income!$B:$B,"&gt;="&amp;$C85,Income!$B:$B,"&lt;="&amp;$D85),"na"))</f>
        <v>0</v>
      </c>
      <c r="G85" s="173">
        <f t="shared" si="0"/>
        <v>0</v>
      </c>
      <c r="H85" s="174" t="str">
        <f t="shared" si="1"/>
        <v>na</v>
      </c>
      <c r="I85" s="174" t="str">
        <f t="shared" si="2"/>
        <v>na</v>
      </c>
      <c r="J85" s="173">
        <f t="shared" ref="J85:L85" si="83">IF(E85="","",J$5)</f>
        <v>38</v>
      </c>
      <c r="K85" s="173">
        <f t="shared" si="83"/>
        <v>300</v>
      </c>
      <c r="L85" s="173">
        <f t="shared" si="83"/>
        <v>262</v>
      </c>
      <c r="M85" s="173">
        <f>IF($D85="","",'Total &amp; Budget Targets'!$G$44)</f>
        <v>0</v>
      </c>
      <c r="N85" s="173">
        <f>IF($D85="","",'Total &amp; Budget Targets'!$G$63)</f>
        <v>0</v>
      </c>
      <c r="O85" s="173">
        <f>IF($D85="","",'Total &amp; Budget Targets'!$G$69)</f>
        <v>0</v>
      </c>
    </row>
    <row r="86" spans="1:15" ht="15.75" customHeight="1" x14ac:dyDescent="0.2">
      <c r="A86" s="165">
        <f t="shared" si="3"/>
        <v>82</v>
      </c>
      <c r="B86" s="172"/>
      <c r="C86" s="169">
        <f>IF(D85="","",IF(D85+1&gt;'Date Info'!$D$21,"",D85+1))</f>
        <v>48153</v>
      </c>
      <c r="D86" s="172">
        <f>IFERROR(IF(C86="","",IF(EOMONTH(C86,0)&gt;'Date Info'!$D$21,'Date Info'!$D$21,EOMONTH(C86,0))),"")</f>
        <v>48182</v>
      </c>
      <c r="E86" s="173">
        <f>IF($D86="","",IFERROR(SUMIFS(Expenses!$E:$E,Expenses!$B:$B,"&gt;="&amp;$C86,Expenses!$B:$B,"&lt;="&amp;$D86),"na"))</f>
        <v>0</v>
      </c>
      <c r="F86" s="173">
        <f>IF($D86="","",IFERROR(SUMIFS(Income!$D:$D,Income!$B:$B,"&gt;="&amp;$C86,Income!$B:$B,"&lt;="&amp;$D86),"na"))</f>
        <v>0</v>
      </c>
      <c r="G86" s="173">
        <f t="shared" si="0"/>
        <v>0</v>
      </c>
      <c r="H86" s="174" t="str">
        <f t="shared" si="1"/>
        <v>na</v>
      </c>
      <c r="I86" s="174" t="str">
        <f t="shared" si="2"/>
        <v>na</v>
      </c>
      <c r="J86" s="173">
        <f t="shared" ref="J86:L86" si="84">IF(E86="","",J$5)</f>
        <v>38</v>
      </c>
      <c r="K86" s="173">
        <f t="shared" si="84"/>
        <v>300</v>
      </c>
      <c r="L86" s="173">
        <f t="shared" si="84"/>
        <v>262</v>
      </c>
      <c r="M86" s="173">
        <f>IF($D86="","",'Total &amp; Budget Targets'!$G$44)</f>
        <v>0</v>
      </c>
      <c r="N86" s="173">
        <f>IF($D86="","",'Total &amp; Budget Targets'!$G$63)</f>
        <v>0</v>
      </c>
      <c r="O86" s="173">
        <f>IF($D86="","",'Total &amp; Budget Targets'!$G$69)</f>
        <v>0</v>
      </c>
    </row>
    <row r="87" spans="1:15" ht="15.75" customHeight="1" x14ac:dyDescent="0.2">
      <c r="A87" s="165">
        <f t="shared" si="3"/>
        <v>83</v>
      </c>
      <c r="B87" s="172"/>
      <c r="C87" s="169">
        <f>IF(D86="","",IF(D86+1&gt;'Date Info'!$D$21,"",D86+1))</f>
        <v>48183</v>
      </c>
      <c r="D87" s="172">
        <f>IFERROR(IF(C87="","",IF(EOMONTH(C87,0)&gt;'Date Info'!$D$21,'Date Info'!$D$21,EOMONTH(C87,0))),"")</f>
        <v>48213</v>
      </c>
      <c r="E87" s="173">
        <f>IF($D87="","",IFERROR(SUMIFS(Expenses!$E:$E,Expenses!$B:$B,"&gt;="&amp;$C87,Expenses!$B:$B,"&lt;="&amp;$D87),"na"))</f>
        <v>0</v>
      </c>
      <c r="F87" s="173">
        <f>IF($D87="","",IFERROR(SUMIFS(Income!$D:$D,Income!$B:$B,"&gt;="&amp;$C87,Income!$B:$B,"&lt;="&amp;$D87),"na"))</f>
        <v>0</v>
      </c>
      <c r="G87" s="173">
        <f t="shared" si="0"/>
        <v>0</v>
      </c>
      <c r="H87" s="174" t="str">
        <f t="shared" si="1"/>
        <v>na</v>
      </c>
      <c r="I87" s="174" t="str">
        <f t="shared" si="2"/>
        <v>na</v>
      </c>
      <c r="J87" s="173">
        <f t="shared" ref="J87:L87" si="85">IF(E87="","",J$5)</f>
        <v>38</v>
      </c>
      <c r="K87" s="173">
        <f t="shared" si="85"/>
        <v>300</v>
      </c>
      <c r="L87" s="173">
        <f t="shared" si="85"/>
        <v>262</v>
      </c>
      <c r="M87" s="173">
        <f>IF($D87="","",'Total &amp; Budget Targets'!$G$44)</f>
        <v>0</v>
      </c>
      <c r="N87" s="173">
        <f>IF($D87="","",'Total &amp; Budget Targets'!$G$63)</f>
        <v>0</v>
      </c>
      <c r="O87" s="173">
        <f>IF($D87="","",'Total &amp; Budget Targets'!$G$69)</f>
        <v>0</v>
      </c>
    </row>
    <row r="88" spans="1:15" ht="15.75" customHeight="1" x14ac:dyDescent="0.2">
      <c r="A88" s="165">
        <f t="shared" si="3"/>
        <v>84</v>
      </c>
      <c r="B88" s="172"/>
      <c r="C88" s="169">
        <f>IF(D87="","",IF(D87+1&gt;'Date Info'!$D$21,"",D87+1))</f>
        <v>48214</v>
      </c>
      <c r="D88" s="172">
        <f>IFERROR(IF(C88="","",IF(EOMONTH(C88,0)&gt;'Date Info'!$D$21,'Date Info'!$D$21,EOMONTH(C88,0))),"")</f>
        <v>48244</v>
      </c>
      <c r="E88" s="173">
        <f>IF($D88="","",IFERROR(SUMIFS(Expenses!$E:$E,Expenses!$B:$B,"&gt;="&amp;$C88,Expenses!$B:$B,"&lt;="&amp;$D88),"na"))</f>
        <v>0</v>
      </c>
      <c r="F88" s="173">
        <f>IF($D88="","",IFERROR(SUMIFS(Income!$D:$D,Income!$B:$B,"&gt;="&amp;$C88,Income!$B:$B,"&lt;="&amp;$D88),"na"))</f>
        <v>0</v>
      </c>
      <c r="G88" s="173">
        <f t="shared" si="0"/>
        <v>0</v>
      </c>
      <c r="H88" s="174" t="str">
        <f t="shared" si="1"/>
        <v>na</v>
      </c>
      <c r="I88" s="174" t="str">
        <f t="shared" si="2"/>
        <v>na</v>
      </c>
      <c r="J88" s="173">
        <f t="shared" ref="J88:L88" si="86">IF(E88="","",J$5)</f>
        <v>38</v>
      </c>
      <c r="K88" s="173">
        <f t="shared" si="86"/>
        <v>300</v>
      </c>
      <c r="L88" s="173">
        <f t="shared" si="86"/>
        <v>262</v>
      </c>
      <c r="M88" s="173">
        <f>IF($D88="","",'Total &amp; Budget Targets'!$G$44)</f>
        <v>0</v>
      </c>
      <c r="N88" s="173">
        <f>IF($D88="","",'Total &amp; Budget Targets'!$G$63)</f>
        <v>0</v>
      </c>
      <c r="O88" s="173">
        <f>IF($D88="","",'Total &amp; Budget Targets'!$G$69)</f>
        <v>0</v>
      </c>
    </row>
    <row r="89" spans="1:15" ht="15.75" customHeight="1" x14ac:dyDescent="0.2">
      <c r="A89" s="165">
        <f t="shared" si="3"/>
        <v>85</v>
      </c>
      <c r="B89" s="172"/>
      <c r="C89" s="169">
        <f>IF(D88="","",IF(D88+1&gt;'Date Info'!$D$21,"",D88+1))</f>
        <v>48245</v>
      </c>
      <c r="D89" s="172">
        <f>IFERROR(IF(C89="","",IF(EOMONTH(C89,0)&gt;'Date Info'!$D$21,'Date Info'!$D$21,EOMONTH(C89,0))),"")</f>
        <v>48273</v>
      </c>
      <c r="E89" s="173">
        <f>IF($D89="","",IFERROR(SUMIFS(Expenses!$E:$E,Expenses!$B:$B,"&gt;="&amp;$C89,Expenses!$B:$B,"&lt;="&amp;$D89),"na"))</f>
        <v>0</v>
      </c>
      <c r="F89" s="173">
        <f>IF($D89="","",IFERROR(SUMIFS(Income!$D:$D,Income!$B:$B,"&gt;="&amp;$C89,Income!$B:$B,"&lt;="&amp;$D89),"na"))</f>
        <v>0</v>
      </c>
      <c r="G89" s="173">
        <f t="shared" si="0"/>
        <v>0</v>
      </c>
      <c r="H89" s="174" t="str">
        <f t="shared" si="1"/>
        <v>na</v>
      </c>
      <c r="I89" s="174" t="str">
        <f t="shared" si="2"/>
        <v>na</v>
      </c>
      <c r="J89" s="173">
        <f t="shared" ref="J89:L89" si="87">IF(E89="","",J$5)</f>
        <v>38</v>
      </c>
      <c r="K89" s="173">
        <f t="shared" si="87"/>
        <v>300</v>
      </c>
      <c r="L89" s="173">
        <f t="shared" si="87"/>
        <v>262</v>
      </c>
      <c r="M89" s="173">
        <f>IF($D89="","",'Total &amp; Budget Targets'!$G$44)</f>
        <v>0</v>
      </c>
      <c r="N89" s="173">
        <f>IF($D89="","",'Total &amp; Budget Targets'!$G$63)</f>
        <v>0</v>
      </c>
      <c r="O89" s="173">
        <f>IF($D89="","",'Total &amp; Budget Targets'!$G$69)</f>
        <v>0</v>
      </c>
    </row>
    <row r="90" spans="1:15" ht="15.75" customHeight="1" x14ac:dyDescent="0.2">
      <c r="A90" s="165">
        <f t="shared" si="3"/>
        <v>86</v>
      </c>
      <c r="B90" s="172"/>
      <c r="C90" s="169">
        <f>IF(D89="","",IF(D89+1&gt;'Date Info'!$D$21,"",D89+1))</f>
        <v>48274</v>
      </c>
      <c r="D90" s="172">
        <f>IFERROR(IF(C90="","",IF(EOMONTH(C90,0)&gt;'Date Info'!$D$21,'Date Info'!$D$21,EOMONTH(C90,0))),"")</f>
        <v>48304</v>
      </c>
      <c r="E90" s="173">
        <f>IF($D90="","",IFERROR(SUMIFS(Expenses!$E:$E,Expenses!$B:$B,"&gt;="&amp;$C90,Expenses!$B:$B,"&lt;="&amp;$D90),"na"))</f>
        <v>0</v>
      </c>
      <c r="F90" s="173">
        <f>IF($D90="","",IFERROR(SUMIFS(Income!$D:$D,Income!$B:$B,"&gt;="&amp;$C90,Income!$B:$B,"&lt;="&amp;$D90),"na"))</f>
        <v>0</v>
      </c>
      <c r="G90" s="173">
        <f t="shared" si="0"/>
        <v>0</v>
      </c>
      <c r="H90" s="174" t="str">
        <f t="shared" si="1"/>
        <v>na</v>
      </c>
      <c r="I90" s="174" t="str">
        <f t="shared" si="2"/>
        <v>na</v>
      </c>
      <c r="J90" s="173">
        <f t="shared" ref="J90:L90" si="88">IF(E90="","",J$5)</f>
        <v>38</v>
      </c>
      <c r="K90" s="173">
        <f t="shared" si="88"/>
        <v>300</v>
      </c>
      <c r="L90" s="173">
        <f t="shared" si="88"/>
        <v>262</v>
      </c>
      <c r="M90" s="173">
        <f>IF($D90="","",'Total &amp; Budget Targets'!$G$44)</f>
        <v>0</v>
      </c>
      <c r="N90" s="173">
        <f>IF($D90="","",'Total &amp; Budget Targets'!$G$63)</f>
        <v>0</v>
      </c>
      <c r="O90" s="173">
        <f>IF($D90="","",'Total &amp; Budget Targets'!$G$69)</f>
        <v>0</v>
      </c>
    </row>
    <row r="91" spans="1:15" ht="15.75" customHeight="1" x14ac:dyDescent="0.2">
      <c r="A91" s="165">
        <f t="shared" si="3"/>
        <v>87</v>
      </c>
      <c r="B91" s="172"/>
      <c r="C91" s="169">
        <f>IF(D90="","",IF(D90+1&gt;'Date Info'!$D$21,"",D90+1))</f>
        <v>48305</v>
      </c>
      <c r="D91" s="172">
        <f>IFERROR(IF(C91="","",IF(EOMONTH(C91,0)&gt;'Date Info'!$D$21,'Date Info'!$D$21,EOMONTH(C91,0))),"")</f>
        <v>48334</v>
      </c>
      <c r="E91" s="173">
        <f>IF($D91="","",IFERROR(SUMIFS(Expenses!$E:$E,Expenses!$B:$B,"&gt;="&amp;$C91,Expenses!$B:$B,"&lt;="&amp;$D91),"na"))</f>
        <v>0</v>
      </c>
      <c r="F91" s="173">
        <f>IF($D91="","",IFERROR(SUMIFS(Income!$D:$D,Income!$B:$B,"&gt;="&amp;$C91,Income!$B:$B,"&lt;="&amp;$D91),"na"))</f>
        <v>0</v>
      </c>
      <c r="G91" s="173">
        <f t="shared" si="0"/>
        <v>0</v>
      </c>
      <c r="H91" s="174" t="str">
        <f t="shared" si="1"/>
        <v>na</v>
      </c>
      <c r="I91" s="174" t="str">
        <f t="shared" si="2"/>
        <v>na</v>
      </c>
      <c r="J91" s="173">
        <f t="shared" ref="J91:L91" si="89">IF(E91="","",J$5)</f>
        <v>38</v>
      </c>
      <c r="K91" s="173">
        <f t="shared" si="89"/>
        <v>300</v>
      </c>
      <c r="L91" s="173">
        <f t="shared" si="89"/>
        <v>262</v>
      </c>
      <c r="M91" s="173">
        <f>IF($D91="","",'Total &amp; Budget Targets'!$G$44)</f>
        <v>0</v>
      </c>
      <c r="N91" s="173">
        <f>IF($D91="","",'Total &amp; Budget Targets'!$G$63)</f>
        <v>0</v>
      </c>
      <c r="O91" s="173">
        <f>IF($D91="","",'Total &amp; Budget Targets'!$G$69)</f>
        <v>0</v>
      </c>
    </row>
    <row r="92" spans="1:15" ht="15.75" customHeight="1" x14ac:dyDescent="0.2">
      <c r="A92" s="165">
        <f t="shared" si="3"/>
        <v>88</v>
      </c>
      <c r="B92" s="172"/>
      <c r="C92" s="169">
        <f>IF(D91="","",IF(D91+1&gt;'Date Info'!$D$21,"",D91+1))</f>
        <v>48335</v>
      </c>
      <c r="D92" s="172">
        <f>IFERROR(IF(C92="","",IF(EOMONTH(C92,0)&gt;'Date Info'!$D$21,'Date Info'!$D$21,EOMONTH(C92,0))),"")</f>
        <v>48365</v>
      </c>
      <c r="E92" s="173">
        <f>IF($D92="","",IFERROR(SUMIFS(Expenses!$E:$E,Expenses!$B:$B,"&gt;="&amp;$C92,Expenses!$B:$B,"&lt;="&amp;$D92),"na"))</f>
        <v>0</v>
      </c>
      <c r="F92" s="173">
        <f>IF($D92="","",IFERROR(SUMIFS(Income!$D:$D,Income!$B:$B,"&gt;="&amp;$C92,Income!$B:$B,"&lt;="&amp;$D92),"na"))</f>
        <v>0</v>
      </c>
      <c r="G92" s="173">
        <f t="shared" si="0"/>
        <v>0</v>
      </c>
      <c r="H92" s="174" t="str">
        <f t="shared" si="1"/>
        <v>na</v>
      </c>
      <c r="I92" s="174" t="str">
        <f t="shared" si="2"/>
        <v>na</v>
      </c>
      <c r="J92" s="173">
        <f t="shared" ref="J92:L92" si="90">IF(E92="","",J$5)</f>
        <v>38</v>
      </c>
      <c r="K92" s="173">
        <f t="shared" si="90"/>
        <v>300</v>
      </c>
      <c r="L92" s="173">
        <f t="shared" si="90"/>
        <v>262</v>
      </c>
      <c r="M92" s="173">
        <f>IF($D92="","",'Total &amp; Budget Targets'!$G$44)</f>
        <v>0</v>
      </c>
      <c r="N92" s="173">
        <f>IF($D92="","",'Total &amp; Budget Targets'!$G$63)</f>
        <v>0</v>
      </c>
      <c r="O92" s="173">
        <f>IF($D92="","",'Total &amp; Budget Targets'!$G$69)</f>
        <v>0</v>
      </c>
    </row>
    <row r="93" spans="1:15" ht="15.75" customHeight="1" x14ac:dyDescent="0.2">
      <c r="A93" s="165">
        <f t="shared" si="3"/>
        <v>89</v>
      </c>
      <c r="B93" s="172"/>
      <c r="C93" s="169">
        <f>IF(D92="","",IF(D92+1&gt;'Date Info'!$D$21,"",D92+1))</f>
        <v>48366</v>
      </c>
      <c r="D93" s="172">
        <f>IFERROR(IF(C93="","",IF(EOMONTH(C93,0)&gt;'Date Info'!$D$21,'Date Info'!$D$21,EOMONTH(C93,0))),"")</f>
        <v>48395</v>
      </c>
      <c r="E93" s="173">
        <f>IF($D93="","",IFERROR(SUMIFS(Expenses!$E:$E,Expenses!$B:$B,"&gt;="&amp;$C93,Expenses!$B:$B,"&lt;="&amp;$D93),"na"))</f>
        <v>0</v>
      </c>
      <c r="F93" s="173">
        <f>IF($D93="","",IFERROR(SUMIFS(Income!$D:$D,Income!$B:$B,"&gt;="&amp;$C93,Income!$B:$B,"&lt;="&amp;$D93),"na"))</f>
        <v>0</v>
      </c>
      <c r="G93" s="173">
        <f t="shared" si="0"/>
        <v>0</v>
      </c>
      <c r="H93" s="174" t="str">
        <f t="shared" si="1"/>
        <v>na</v>
      </c>
      <c r="I93" s="174" t="str">
        <f t="shared" si="2"/>
        <v>na</v>
      </c>
      <c r="J93" s="173">
        <f t="shared" ref="J93:L93" si="91">IF(E93="","",J$5)</f>
        <v>38</v>
      </c>
      <c r="K93" s="173">
        <f t="shared" si="91"/>
        <v>300</v>
      </c>
      <c r="L93" s="173">
        <f t="shared" si="91"/>
        <v>262</v>
      </c>
      <c r="M93" s="173">
        <f>IF($D93="","",'Total &amp; Budget Targets'!$G$44)</f>
        <v>0</v>
      </c>
      <c r="N93" s="173">
        <f>IF($D93="","",'Total &amp; Budget Targets'!$G$63)</f>
        <v>0</v>
      </c>
      <c r="O93" s="173">
        <f>IF($D93="","",'Total &amp; Budget Targets'!$G$69)</f>
        <v>0</v>
      </c>
    </row>
    <row r="94" spans="1:15" ht="15.75" customHeight="1" x14ac:dyDescent="0.2">
      <c r="A94" s="165">
        <f t="shared" si="3"/>
        <v>90</v>
      </c>
      <c r="B94" s="172"/>
      <c r="C94" s="169">
        <f>IF(D93="","",IF(D93+1&gt;'Date Info'!$D$21,"",D93+1))</f>
        <v>48396</v>
      </c>
      <c r="D94" s="172">
        <f>IFERROR(IF(C94="","",IF(EOMONTH(C94,0)&gt;'Date Info'!$D$21,'Date Info'!$D$21,EOMONTH(C94,0))),"")</f>
        <v>48426</v>
      </c>
      <c r="E94" s="173">
        <f>IF($D94="","",IFERROR(SUMIFS(Expenses!$E:$E,Expenses!$B:$B,"&gt;="&amp;$C94,Expenses!$B:$B,"&lt;="&amp;$D94),"na"))</f>
        <v>0</v>
      </c>
      <c r="F94" s="173">
        <f>IF($D94="","",IFERROR(SUMIFS(Income!$D:$D,Income!$B:$B,"&gt;="&amp;$C94,Income!$B:$B,"&lt;="&amp;$D94),"na"))</f>
        <v>0</v>
      </c>
      <c r="G94" s="173">
        <f t="shared" si="0"/>
        <v>0</v>
      </c>
      <c r="H94" s="174" t="str">
        <f t="shared" si="1"/>
        <v>na</v>
      </c>
      <c r="I94" s="174" t="str">
        <f t="shared" si="2"/>
        <v>na</v>
      </c>
      <c r="J94" s="173">
        <f t="shared" ref="J94:L94" si="92">IF(E94="","",J$5)</f>
        <v>38</v>
      </c>
      <c r="K94" s="173">
        <f t="shared" si="92"/>
        <v>300</v>
      </c>
      <c r="L94" s="173">
        <f t="shared" si="92"/>
        <v>262</v>
      </c>
      <c r="M94" s="173">
        <f>IF($D94="","",'Total &amp; Budget Targets'!$G$44)</f>
        <v>0</v>
      </c>
      <c r="N94" s="173">
        <f>IF($D94="","",'Total &amp; Budget Targets'!$G$63)</f>
        <v>0</v>
      </c>
      <c r="O94" s="173">
        <f>IF($D94="","",'Total &amp; Budget Targets'!$G$69)</f>
        <v>0</v>
      </c>
    </row>
    <row r="95" spans="1:15" ht="15.75" customHeight="1" x14ac:dyDescent="0.2">
      <c r="A95" s="165">
        <f t="shared" si="3"/>
        <v>91</v>
      </c>
      <c r="B95" s="172"/>
      <c r="C95" s="169">
        <f>IF(D94="","",IF(D94+1&gt;'Date Info'!$D$21,"",D94+1))</f>
        <v>48427</v>
      </c>
      <c r="D95" s="172">
        <f>IFERROR(IF(C95="","",IF(EOMONTH(C95,0)&gt;'Date Info'!$D$21,'Date Info'!$D$21,EOMONTH(C95,0))),"")</f>
        <v>48457</v>
      </c>
      <c r="E95" s="173">
        <f>IF($D95="","",IFERROR(SUMIFS(Expenses!$E:$E,Expenses!$B:$B,"&gt;="&amp;$C95,Expenses!$B:$B,"&lt;="&amp;$D95),"na"))</f>
        <v>0</v>
      </c>
      <c r="F95" s="173">
        <f>IF($D95="","",IFERROR(SUMIFS(Income!$D:$D,Income!$B:$B,"&gt;="&amp;$C95,Income!$B:$B,"&lt;="&amp;$D95),"na"))</f>
        <v>0</v>
      </c>
      <c r="G95" s="173">
        <f t="shared" si="0"/>
        <v>0</v>
      </c>
      <c r="H95" s="174" t="str">
        <f t="shared" si="1"/>
        <v>na</v>
      </c>
      <c r="I95" s="174" t="str">
        <f t="shared" si="2"/>
        <v>na</v>
      </c>
      <c r="J95" s="173">
        <f t="shared" ref="J95:L95" si="93">IF(E95="","",J$5)</f>
        <v>38</v>
      </c>
      <c r="K95" s="173">
        <f t="shared" si="93"/>
        <v>300</v>
      </c>
      <c r="L95" s="173">
        <f t="shared" si="93"/>
        <v>262</v>
      </c>
      <c r="M95" s="173">
        <f>IF($D95="","",'Total &amp; Budget Targets'!$G$44)</f>
        <v>0</v>
      </c>
      <c r="N95" s="173">
        <f>IF($D95="","",'Total &amp; Budget Targets'!$G$63)</f>
        <v>0</v>
      </c>
      <c r="O95" s="173">
        <f>IF($D95="","",'Total &amp; Budget Targets'!$G$69)</f>
        <v>0</v>
      </c>
    </row>
    <row r="96" spans="1:15" ht="15.75" customHeight="1" x14ac:dyDescent="0.2">
      <c r="A96" s="165">
        <f t="shared" si="3"/>
        <v>92</v>
      </c>
      <c r="B96" s="172"/>
      <c r="C96" s="169">
        <f>IF(D95="","",IF(D95+1&gt;'Date Info'!$D$21,"",D95+1))</f>
        <v>48458</v>
      </c>
      <c r="D96" s="172">
        <f>IFERROR(IF(C96="","",IF(EOMONTH(C96,0)&gt;'Date Info'!$D$21,'Date Info'!$D$21,EOMONTH(C96,0))),"")</f>
        <v>48487</v>
      </c>
      <c r="E96" s="173">
        <f>IF($D96="","",IFERROR(SUMIFS(Expenses!$E:$E,Expenses!$B:$B,"&gt;="&amp;$C96,Expenses!$B:$B,"&lt;="&amp;$D96),"na"))</f>
        <v>0</v>
      </c>
      <c r="F96" s="173">
        <f>IF($D96="","",IFERROR(SUMIFS(Income!$D:$D,Income!$B:$B,"&gt;="&amp;$C96,Income!$B:$B,"&lt;="&amp;$D96),"na"))</f>
        <v>0</v>
      </c>
      <c r="G96" s="173">
        <f t="shared" si="0"/>
        <v>0</v>
      </c>
      <c r="H96" s="174" t="str">
        <f t="shared" si="1"/>
        <v>na</v>
      </c>
      <c r="I96" s="174" t="str">
        <f t="shared" si="2"/>
        <v>na</v>
      </c>
      <c r="J96" s="173">
        <f t="shared" ref="J96:L96" si="94">IF(E96="","",J$5)</f>
        <v>38</v>
      </c>
      <c r="K96" s="173">
        <f t="shared" si="94"/>
        <v>300</v>
      </c>
      <c r="L96" s="173">
        <f t="shared" si="94"/>
        <v>262</v>
      </c>
      <c r="M96" s="173">
        <f>IF($D96="","",'Total &amp; Budget Targets'!$G$44)</f>
        <v>0</v>
      </c>
      <c r="N96" s="173">
        <f>IF($D96="","",'Total &amp; Budget Targets'!$G$63)</f>
        <v>0</v>
      </c>
      <c r="O96" s="173">
        <f>IF($D96="","",'Total &amp; Budget Targets'!$G$69)</f>
        <v>0</v>
      </c>
    </row>
    <row r="97" spans="1:15" ht="15.75" customHeight="1" x14ac:dyDescent="0.2">
      <c r="A97" s="165">
        <f t="shared" si="3"/>
        <v>93</v>
      </c>
      <c r="B97" s="172"/>
      <c r="C97" s="169">
        <f>IF(D96="","",IF(D96+1&gt;'Date Info'!$D$21,"",D96+1))</f>
        <v>48488</v>
      </c>
      <c r="D97" s="172">
        <f>IFERROR(IF(C97="","",IF(EOMONTH(C97,0)&gt;'Date Info'!$D$21,'Date Info'!$D$21,EOMONTH(C97,0))),"")</f>
        <v>48518</v>
      </c>
      <c r="E97" s="173">
        <f>IF($D97="","",IFERROR(SUMIFS(Expenses!$E:$E,Expenses!$B:$B,"&gt;="&amp;$C97,Expenses!$B:$B,"&lt;="&amp;$D97),"na"))</f>
        <v>0</v>
      </c>
      <c r="F97" s="173">
        <f>IF($D97="","",IFERROR(SUMIFS(Income!$D:$D,Income!$B:$B,"&gt;="&amp;$C97,Income!$B:$B,"&lt;="&amp;$D97),"na"))</f>
        <v>0</v>
      </c>
      <c r="G97" s="173">
        <f t="shared" si="0"/>
        <v>0</v>
      </c>
      <c r="H97" s="174" t="str">
        <f t="shared" si="1"/>
        <v>na</v>
      </c>
      <c r="I97" s="174" t="str">
        <f t="shared" si="2"/>
        <v>na</v>
      </c>
      <c r="J97" s="173">
        <f t="shared" ref="J97:L97" si="95">IF(E97="","",J$5)</f>
        <v>38</v>
      </c>
      <c r="K97" s="173">
        <f t="shared" si="95"/>
        <v>300</v>
      </c>
      <c r="L97" s="173">
        <f t="shared" si="95"/>
        <v>262</v>
      </c>
      <c r="M97" s="173">
        <f>IF($D97="","",'Total &amp; Budget Targets'!$G$44)</f>
        <v>0</v>
      </c>
      <c r="N97" s="173">
        <f>IF($D97="","",'Total &amp; Budget Targets'!$G$63)</f>
        <v>0</v>
      </c>
      <c r="O97" s="173">
        <f>IF($D97="","",'Total &amp; Budget Targets'!$G$69)</f>
        <v>0</v>
      </c>
    </row>
    <row r="98" spans="1:15" ht="15.75" customHeight="1" x14ac:dyDescent="0.2">
      <c r="A98" s="165">
        <f t="shared" si="3"/>
        <v>94</v>
      </c>
      <c r="B98" s="172"/>
      <c r="C98" s="169">
        <f>IF(D97="","",IF(D97+1&gt;'Date Info'!$D$21,"",D97+1))</f>
        <v>48519</v>
      </c>
      <c r="D98" s="172">
        <f>IFERROR(IF(C98="","",IF(EOMONTH(C98,0)&gt;'Date Info'!$D$21,'Date Info'!$D$21,EOMONTH(C98,0))),"")</f>
        <v>48548</v>
      </c>
      <c r="E98" s="173">
        <f>IF($D98="","",IFERROR(SUMIFS(Expenses!$E:$E,Expenses!$B:$B,"&gt;="&amp;$C98,Expenses!$B:$B,"&lt;="&amp;$D98),"na"))</f>
        <v>0</v>
      </c>
      <c r="F98" s="173">
        <f>IF($D98="","",IFERROR(SUMIFS(Income!$D:$D,Income!$B:$B,"&gt;="&amp;$C98,Income!$B:$B,"&lt;="&amp;$D98),"na"))</f>
        <v>0</v>
      </c>
      <c r="G98" s="173">
        <f t="shared" si="0"/>
        <v>0</v>
      </c>
      <c r="H98" s="174" t="str">
        <f t="shared" si="1"/>
        <v>na</v>
      </c>
      <c r="I98" s="174" t="str">
        <f t="shared" si="2"/>
        <v>na</v>
      </c>
      <c r="J98" s="173">
        <f t="shared" ref="J98:L98" si="96">IF(E98="","",J$5)</f>
        <v>38</v>
      </c>
      <c r="K98" s="173">
        <f t="shared" si="96"/>
        <v>300</v>
      </c>
      <c r="L98" s="173">
        <f t="shared" si="96"/>
        <v>262</v>
      </c>
      <c r="M98" s="173">
        <f>IF($D98="","",'Total &amp; Budget Targets'!$G$44)</f>
        <v>0</v>
      </c>
      <c r="N98" s="173">
        <f>IF($D98="","",'Total &amp; Budget Targets'!$G$63)</f>
        <v>0</v>
      </c>
      <c r="O98" s="173">
        <f>IF($D98="","",'Total &amp; Budget Targets'!$G$69)</f>
        <v>0</v>
      </c>
    </row>
    <row r="99" spans="1:15" ht="15.75" customHeight="1" x14ac:dyDescent="0.2">
      <c r="A99" s="165">
        <f t="shared" si="3"/>
        <v>95</v>
      </c>
      <c r="B99" s="172"/>
      <c r="C99" s="169">
        <f>IF(D98="","",IF(D98+1&gt;'Date Info'!$D$21,"",D98+1))</f>
        <v>48549</v>
      </c>
      <c r="D99" s="172">
        <f>IFERROR(IF(C99="","",IF(EOMONTH(C99,0)&gt;'Date Info'!$D$21,'Date Info'!$D$21,EOMONTH(C99,0))),"")</f>
        <v>48579</v>
      </c>
      <c r="E99" s="173">
        <f>IF($D99="","",IFERROR(SUMIFS(Expenses!$E:$E,Expenses!$B:$B,"&gt;="&amp;$C99,Expenses!$B:$B,"&lt;="&amp;$D99),"na"))</f>
        <v>0</v>
      </c>
      <c r="F99" s="173">
        <f>IF($D99="","",IFERROR(SUMIFS(Income!$D:$D,Income!$B:$B,"&gt;="&amp;$C99,Income!$B:$B,"&lt;="&amp;$D99),"na"))</f>
        <v>0</v>
      </c>
      <c r="G99" s="173">
        <f t="shared" si="0"/>
        <v>0</v>
      </c>
      <c r="H99" s="174" t="str">
        <f t="shared" si="1"/>
        <v>na</v>
      </c>
      <c r="I99" s="174" t="str">
        <f t="shared" si="2"/>
        <v>na</v>
      </c>
      <c r="J99" s="173">
        <f t="shared" ref="J99:L99" si="97">IF(E99="","",J$5)</f>
        <v>38</v>
      </c>
      <c r="K99" s="173">
        <f t="shared" si="97"/>
        <v>300</v>
      </c>
      <c r="L99" s="173">
        <f t="shared" si="97"/>
        <v>262</v>
      </c>
      <c r="M99" s="173">
        <f>IF($D99="","",'Total &amp; Budget Targets'!$G$44)</f>
        <v>0</v>
      </c>
      <c r="N99" s="173">
        <f>IF($D99="","",'Total &amp; Budget Targets'!$G$63)</f>
        <v>0</v>
      </c>
      <c r="O99" s="173">
        <f>IF($D99="","",'Total &amp; Budget Targets'!$G$69)</f>
        <v>0</v>
      </c>
    </row>
    <row r="100" spans="1:15" ht="15.75" customHeight="1" x14ac:dyDescent="0.2">
      <c r="A100" s="165">
        <f t="shared" si="3"/>
        <v>96</v>
      </c>
      <c r="B100" s="172"/>
      <c r="C100" s="169">
        <f>IF(D99="","",IF(D99+1&gt;'Date Info'!$D$21,"",D99+1))</f>
        <v>48580</v>
      </c>
      <c r="D100" s="172">
        <f>IFERROR(IF(C100="","",IF(EOMONTH(C100,0)&gt;'Date Info'!$D$21,'Date Info'!$D$21,EOMONTH(C100,0))),"")</f>
        <v>48610</v>
      </c>
      <c r="E100" s="173">
        <f>IF($D100="","",IFERROR(SUMIFS(Expenses!$E:$E,Expenses!$B:$B,"&gt;="&amp;$C100,Expenses!$B:$B,"&lt;="&amp;$D100),"na"))</f>
        <v>0</v>
      </c>
      <c r="F100" s="173">
        <f>IF($D100="","",IFERROR(SUMIFS(Income!$D:$D,Income!$B:$B,"&gt;="&amp;$C100,Income!$B:$B,"&lt;="&amp;$D100),"na"))</f>
        <v>0</v>
      </c>
      <c r="G100" s="173">
        <f t="shared" si="0"/>
        <v>0</v>
      </c>
      <c r="H100" s="174" t="str">
        <f t="shared" si="1"/>
        <v>na</v>
      </c>
      <c r="I100" s="174" t="str">
        <f t="shared" si="2"/>
        <v>na</v>
      </c>
      <c r="J100" s="173">
        <f t="shared" ref="J100:L100" si="98">IF(E100="","",J$5)</f>
        <v>38</v>
      </c>
      <c r="K100" s="173">
        <f t="shared" si="98"/>
        <v>300</v>
      </c>
      <c r="L100" s="173">
        <f t="shared" si="98"/>
        <v>262</v>
      </c>
      <c r="M100" s="173">
        <f>IF($D100="","",'Total &amp; Budget Targets'!$G$44)</f>
        <v>0</v>
      </c>
      <c r="N100" s="173">
        <f>IF($D100="","",'Total &amp; Budget Targets'!$G$63)</f>
        <v>0</v>
      </c>
      <c r="O100" s="173">
        <f>IF($D100="","",'Total &amp; Budget Targets'!$G$69)</f>
        <v>0</v>
      </c>
    </row>
    <row r="101" spans="1:15" ht="15.75" customHeight="1" x14ac:dyDescent="0.2">
      <c r="A101" s="165">
        <f t="shared" si="3"/>
        <v>97</v>
      </c>
      <c r="B101" s="172"/>
      <c r="C101" s="169">
        <f>IF(D100="","",IF(D100+1&gt;'Date Info'!$D$21,"",D100+1))</f>
        <v>48611</v>
      </c>
      <c r="D101" s="172">
        <f>IFERROR(IF(C101="","",IF(EOMONTH(C101,0)&gt;'Date Info'!$D$21,'Date Info'!$D$21,EOMONTH(C101,0))),"")</f>
        <v>48638</v>
      </c>
      <c r="E101" s="173">
        <f>IF($D101="","",IFERROR(SUMIFS(Expenses!$E:$E,Expenses!$B:$B,"&gt;="&amp;$C101,Expenses!$B:$B,"&lt;="&amp;$D101),"na"))</f>
        <v>0</v>
      </c>
      <c r="F101" s="173">
        <f>IF($D101="","",IFERROR(SUMIFS(Income!$D:$D,Income!$B:$B,"&gt;="&amp;$C101,Income!$B:$B,"&lt;="&amp;$D101),"na"))</f>
        <v>0</v>
      </c>
      <c r="G101" s="173">
        <f t="shared" si="0"/>
        <v>0</v>
      </c>
      <c r="H101" s="174" t="str">
        <f t="shared" si="1"/>
        <v>na</v>
      </c>
      <c r="I101" s="174" t="str">
        <f t="shared" si="2"/>
        <v>na</v>
      </c>
      <c r="J101" s="173">
        <f t="shared" ref="J101:L101" si="99">IF(E101="","",J$5)</f>
        <v>38</v>
      </c>
      <c r="K101" s="173">
        <f t="shared" si="99"/>
        <v>300</v>
      </c>
      <c r="L101" s="173">
        <f t="shared" si="99"/>
        <v>262</v>
      </c>
      <c r="M101" s="173">
        <f>IF($D101="","",'Total &amp; Budget Targets'!$G$44)</f>
        <v>0</v>
      </c>
      <c r="N101" s="173">
        <f>IF($D101="","",'Total &amp; Budget Targets'!$G$63)</f>
        <v>0</v>
      </c>
      <c r="O101" s="173">
        <f>IF($D101="","",'Total &amp; Budget Targets'!$G$69)</f>
        <v>0</v>
      </c>
    </row>
    <row r="102" spans="1:15" ht="15.75" customHeight="1" x14ac:dyDescent="0.2">
      <c r="A102" s="165">
        <f t="shared" si="3"/>
        <v>98</v>
      </c>
      <c r="B102" s="172"/>
      <c r="C102" s="169">
        <f>IF(D101="","",IF(D101+1&gt;'Date Info'!$D$21,"",D101+1))</f>
        <v>48639</v>
      </c>
      <c r="D102" s="172">
        <f>IFERROR(IF(C102="","",IF(EOMONTH(C102,0)&gt;'Date Info'!$D$21,'Date Info'!$D$21,EOMONTH(C102,0))),"")</f>
        <v>48669</v>
      </c>
      <c r="E102" s="173">
        <f>IF($D102="","",IFERROR(SUMIFS(Expenses!$E:$E,Expenses!$B:$B,"&gt;="&amp;$C102,Expenses!$B:$B,"&lt;="&amp;$D102),"na"))</f>
        <v>0</v>
      </c>
      <c r="F102" s="173">
        <f>IF($D102="","",IFERROR(SUMIFS(Income!$D:$D,Income!$B:$B,"&gt;="&amp;$C102,Income!$B:$B,"&lt;="&amp;$D102),"na"))</f>
        <v>0</v>
      </c>
      <c r="G102" s="173">
        <f t="shared" si="0"/>
        <v>0</v>
      </c>
      <c r="H102" s="174" t="str">
        <f t="shared" si="1"/>
        <v>na</v>
      </c>
      <c r="I102" s="174" t="str">
        <f t="shared" si="2"/>
        <v>na</v>
      </c>
      <c r="J102" s="173">
        <f t="shared" ref="J102:L102" si="100">IF(E102="","",J$5)</f>
        <v>38</v>
      </c>
      <c r="K102" s="173">
        <f t="shared" si="100"/>
        <v>300</v>
      </c>
      <c r="L102" s="173">
        <f t="shared" si="100"/>
        <v>262</v>
      </c>
      <c r="M102" s="173">
        <f>IF($D102="","",'Total &amp; Budget Targets'!$G$44)</f>
        <v>0</v>
      </c>
      <c r="N102" s="173">
        <f>IF($D102="","",'Total &amp; Budget Targets'!$G$63)</f>
        <v>0</v>
      </c>
      <c r="O102" s="173">
        <f>IF($D102="","",'Total &amp; Budget Targets'!$G$69)</f>
        <v>0</v>
      </c>
    </row>
    <row r="103" spans="1:15" ht="15.75" customHeight="1" x14ac:dyDescent="0.2">
      <c r="A103" s="165">
        <f t="shared" si="3"/>
        <v>99</v>
      </c>
      <c r="B103" s="172"/>
      <c r="C103" s="169">
        <f>IF(D102="","",IF(D102+1&gt;'Date Info'!$D$21,"",D102+1))</f>
        <v>48670</v>
      </c>
      <c r="D103" s="172">
        <f>IFERROR(IF(C103="","",IF(EOMONTH(C103,0)&gt;'Date Info'!$D$21,'Date Info'!$D$21,EOMONTH(C103,0))),"")</f>
        <v>48699</v>
      </c>
      <c r="E103" s="173">
        <f>IF($D103="","",IFERROR(SUMIFS(Expenses!$E:$E,Expenses!$B:$B,"&gt;="&amp;$C103,Expenses!$B:$B,"&lt;="&amp;$D103),"na"))</f>
        <v>0</v>
      </c>
      <c r="F103" s="173">
        <f>IF($D103="","",IFERROR(SUMIFS(Income!$D:$D,Income!$B:$B,"&gt;="&amp;$C103,Income!$B:$B,"&lt;="&amp;$D103),"na"))</f>
        <v>0</v>
      </c>
      <c r="G103" s="173">
        <f t="shared" si="0"/>
        <v>0</v>
      </c>
      <c r="H103" s="174" t="str">
        <f t="shared" si="1"/>
        <v>na</v>
      </c>
      <c r="I103" s="174" t="str">
        <f t="shared" si="2"/>
        <v>na</v>
      </c>
      <c r="J103" s="173">
        <f t="shared" ref="J103:L103" si="101">IF(E103="","",J$5)</f>
        <v>38</v>
      </c>
      <c r="K103" s="173">
        <f t="shared" si="101"/>
        <v>300</v>
      </c>
      <c r="L103" s="173">
        <f t="shared" si="101"/>
        <v>262</v>
      </c>
      <c r="M103" s="173">
        <f>IF($D103="","",'Total &amp; Budget Targets'!$G$44)</f>
        <v>0</v>
      </c>
      <c r="N103" s="173">
        <f>IF($D103="","",'Total &amp; Budget Targets'!$G$63)</f>
        <v>0</v>
      </c>
      <c r="O103" s="173">
        <f>IF($D103="","",'Total &amp; Budget Targets'!$G$69)</f>
        <v>0</v>
      </c>
    </row>
    <row r="104" spans="1:15" ht="15.75" customHeight="1" x14ac:dyDescent="0.2">
      <c r="A104" s="165">
        <f t="shared" si="3"/>
        <v>100</v>
      </c>
      <c r="B104" s="172"/>
      <c r="C104" s="169">
        <f>IF(D103="","",IF(D103+1&gt;'Date Info'!$D$21,"",D103+1))</f>
        <v>48700</v>
      </c>
      <c r="D104" s="172">
        <f>IFERROR(IF(C104="","",IF(EOMONTH(C104,0)&gt;'Date Info'!$D$21,'Date Info'!$D$21,EOMONTH(C104,0))),"")</f>
        <v>48730</v>
      </c>
      <c r="E104" s="173">
        <f>IF($D104="","",IFERROR(SUMIFS(Expenses!$E:$E,Expenses!$B:$B,"&gt;="&amp;$C104,Expenses!$B:$B,"&lt;="&amp;$D104),"na"))</f>
        <v>0</v>
      </c>
      <c r="F104" s="173">
        <f>IF($D104="","",IFERROR(SUMIFS(Income!$D:$D,Income!$B:$B,"&gt;="&amp;$C104,Income!$B:$B,"&lt;="&amp;$D104),"na"))</f>
        <v>0</v>
      </c>
      <c r="G104" s="173">
        <f t="shared" si="0"/>
        <v>0</v>
      </c>
      <c r="H104" s="174" t="str">
        <f t="shared" si="1"/>
        <v>na</v>
      </c>
      <c r="I104" s="174" t="str">
        <f t="shared" si="2"/>
        <v>na</v>
      </c>
      <c r="J104" s="173">
        <f t="shared" ref="J104:L104" si="102">IF(E104="","",J$5)</f>
        <v>38</v>
      </c>
      <c r="K104" s="173">
        <f t="shared" si="102"/>
        <v>300</v>
      </c>
      <c r="L104" s="173">
        <f t="shared" si="102"/>
        <v>262</v>
      </c>
      <c r="M104" s="173">
        <f>IF($D104="","",'Total &amp; Budget Targets'!$G$44)</f>
        <v>0</v>
      </c>
      <c r="N104" s="173">
        <f>IF($D104="","",'Total &amp; Budget Targets'!$G$63)</f>
        <v>0</v>
      </c>
      <c r="O104" s="173">
        <f>IF($D104="","",'Total &amp; Budget Targets'!$G$69)</f>
        <v>0</v>
      </c>
    </row>
    <row r="105" spans="1:15" ht="15.75" customHeight="1" x14ac:dyDescent="0.2">
      <c r="A105" s="165">
        <f t="shared" si="3"/>
        <v>101</v>
      </c>
      <c r="B105" s="172"/>
      <c r="C105" s="169">
        <f>IF(D104="","",IF(D104+1&gt;'Date Info'!$D$21,"",D104+1))</f>
        <v>48731</v>
      </c>
      <c r="D105" s="172">
        <f>IFERROR(IF(C105="","",IF(EOMONTH(C105,0)&gt;'Date Info'!$D$21,'Date Info'!$D$21,EOMONTH(C105,0))),"")</f>
        <v>48760</v>
      </c>
      <c r="E105" s="173">
        <f>IF($D105="","",IFERROR(SUMIFS(Expenses!$E:$E,Expenses!$B:$B,"&gt;="&amp;$C105,Expenses!$B:$B,"&lt;="&amp;$D105),"na"))</f>
        <v>0</v>
      </c>
      <c r="F105" s="173">
        <f>IF($D105="","",IFERROR(SUMIFS(Income!$D:$D,Income!$B:$B,"&gt;="&amp;$C105,Income!$B:$B,"&lt;="&amp;$D105),"na"))</f>
        <v>0</v>
      </c>
      <c r="G105" s="173">
        <f t="shared" si="0"/>
        <v>0</v>
      </c>
      <c r="H105" s="174" t="str">
        <f t="shared" si="1"/>
        <v>na</v>
      </c>
      <c r="I105" s="174" t="str">
        <f t="shared" si="2"/>
        <v>na</v>
      </c>
      <c r="J105" s="173">
        <f t="shared" ref="J105:L105" si="103">IF(E105="","",J$5)</f>
        <v>38</v>
      </c>
      <c r="K105" s="173">
        <f t="shared" si="103"/>
        <v>300</v>
      </c>
      <c r="L105" s="173">
        <f t="shared" si="103"/>
        <v>262</v>
      </c>
      <c r="M105" s="173">
        <f>IF($D105="","",'Total &amp; Budget Targets'!$G$44)</f>
        <v>0</v>
      </c>
      <c r="N105" s="173">
        <f>IF($D105="","",'Total &amp; Budget Targets'!$G$63)</f>
        <v>0</v>
      </c>
      <c r="O105" s="173">
        <f>IF($D105="","",'Total &amp; Budget Targets'!$G$69)</f>
        <v>0</v>
      </c>
    </row>
    <row r="106" spans="1:15" ht="15.75" customHeight="1" x14ac:dyDescent="0.2">
      <c r="A106" s="165">
        <f t="shared" si="3"/>
        <v>102</v>
      </c>
      <c r="B106" s="172"/>
      <c r="C106" s="169">
        <f>IF(D105="","",IF(D105+1&gt;'Date Info'!$D$21,"",D105+1))</f>
        <v>48761</v>
      </c>
      <c r="D106" s="172">
        <f>IFERROR(IF(C106="","",IF(EOMONTH(C106,0)&gt;'Date Info'!$D$21,'Date Info'!$D$21,EOMONTH(C106,0))),"")</f>
        <v>48791</v>
      </c>
      <c r="E106" s="173">
        <f>IF($D106="","",IFERROR(SUMIFS(Expenses!$E:$E,Expenses!$B:$B,"&gt;="&amp;$C106,Expenses!$B:$B,"&lt;="&amp;$D106),"na"))</f>
        <v>0</v>
      </c>
      <c r="F106" s="173">
        <f>IF($D106="","",IFERROR(SUMIFS(Income!$D:$D,Income!$B:$B,"&gt;="&amp;$C106,Income!$B:$B,"&lt;="&amp;$D106),"na"))</f>
        <v>0</v>
      </c>
      <c r="G106" s="173">
        <f t="shared" si="0"/>
        <v>0</v>
      </c>
      <c r="H106" s="174" t="str">
        <f t="shared" si="1"/>
        <v>na</v>
      </c>
      <c r="I106" s="174" t="str">
        <f t="shared" si="2"/>
        <v>na</v>
      </c>
      <c r="J106" s="173">
        <f t="shared" ref="J106:L106" si="104">IF(E106="","",J$5)</f>
        <v>38</v>
      </c>
      <c r="K106" s="173">
        <f t="shared" si="104"/>
        <v>300</v>
      </c>
      <c r="L106" s="173">
        <f t="shared" si="104"/>
        <v>262</v>
      </c>
      <c r="M106" s="173">
        <f>IF($D106="","",'Total &amp; Budget Targets'!$G$44)</f>
        <v>0</v>
      </c>
      <c r="N106" s="173">
        <f>IF($D106="","",'Total &amp; Budget Targets'!$G$63)</f>
        <v>0</v>
      </c>
      <c r="O106" s="173">
        <f>IF($D106="","",'Total &amp; Budget Targets'!$G$69)</f>
        <v>0</v>
      </c>
    </row>
    <row r="107" spans="1:15" ht="15.75" customHeight="1" x14ac:dyDescent="0.2">
      <c r="A107" s="165">
        <f t="shared" si="3"/>
        <v>103</v>
      </c>
      <c r="B107" s="172"/>
      <c r="C107" s="169">
        <f>IF(D106="","",IF(D106+1&gt;'Date Info'!$D$21,"",D106+1))</f>
        <v>48792</v>
      </c>
      <c r="D107" s="172">
        <f>IFERROR(IF(C107="","",IF(EOMONTH(C107,0)&gt;'Date Info'!$D$21,'Date Info'!$D$21,EOMONTH(C107,0))),"")</f>
        <v>48822</v>
      </c>
      <c r="E107" s="173">
        <f>IF($D107="","",IFERROR(SUMIFS(Expenses!$E:$E,Expenses!$B:$B,"&gt;="&amp;$C107,Expenses!$B:$B,"&lt;="&amp;$D107),"na"))</f>
        <v>0</v>
      </c>
      <c r="F107" s="173">
        <f>IF($D107="","",IFERROR(SUMIFS(Income!$D:$D,Income!$B:$B,"&gt;="&amp;$C107,Income!$B:$B,"&lt;="&amp;$D107),"na"))</f>
        <v>0</v>
      </c>
      <c r="G107" s="173">
        <f t="shared" si="0"/>
        <v>0</v>
      </c>
      <c r="H107" s="174" t="str">
        <f t="shared" si="1"/>
        <v>na</v>
      </c>
      <c r="I107" s="174" t="str">
        <f t="shared" si="2"/>
        <v>na</v>
      </c>
      <c r="J107" s="173">
        <f t="shared" ref="J107:L107" si="105">IF(E107="","",J$5)</f>
        <v>38</v>
      </c>
      <c r="K107" s="173">
        <f t="shared" si="105"/>
        <v>300</v>
      </c>
      <c r="L107" s="173">
        <f t="shared" si="105"/>
        <v>262</v>
      </c>
      <c r="M107" s="173">
        <f>IF($D107="","",'Total &amp; Budget Targets'!$G$44)</f>
        <v>0</v>
      </c>
      <c r="N107" s="173">
        <f>IF($D107="","",'Total &amp; Budget Targets'!$G$63)</f>
        <v>0</v>
      </c>
      <c r="O107" s="173">
        <f>IF($D107="","",'Total &amp; Budget Targets'!$G$69)</f>
        <v>0</v>
      </c>
    </row>
    <row r="108" spans="1:15" ht="15.75" customHeight="1" x14ac:dyDescent="0.2">
      <c r="A108" s="165">
        <f t="shared" si="3"/>
        <v>104</v>
      </c>
      <c r="B108" s="172"/>
      <c r="C108" s="169">
        <f>IF(D107="","",IF(D107+1&gt;'Date Info'!$D$21,"",D107+1))</f>
        <v>48823</v>
      </c>
      <c r="D108" s="172">
        <f>IFERROR(IF(C108="","",IF(EOMONTH(C108,0)&gt;'Date Info'!$D$21,'Date Info'!$D$21,EOMONTH(C108,0))),"")</f>
        <v>48852</v>
      </c>
      <c r="E108" s="173">
        <f>IF($D108="","",IFERROR(SUMIFS(Expenses!$E:$E,Expenses!$B:$B,"&gt;="&amp;$C108,Expenses!$B:$B,"&lt;="&amp;$D108),"na"))</f>
        <v>0</v>
      </c>
      <c r="F108" s="173">
        <f>IF($D108="","",IFERROR(SUMIFS(Income!$D:$D,Income!$B:$B,"&gt;="&amp;$C108,Income!$B:$B,"&lt;="&amp;$D108),"na"))</f>
        <v>0</v>
      </c>
      <c r="G108" s="173">
        <f t="shared" si="0"/>
        <v>0</v>
      </c>
      <c r="H108" s="174" t="str">
        <f t="shared" si="1"/>
        <v>na</v>
      </c>
      <c r="I108" s="174" t="str">
        <f t="shared" si="2"/>
        <v>na</v>
      </c>
      <c r="J108" s="173">
        <f t="shared" ref="J108:L108" si="106">IF(E108="","",J$5)</f>
        <v>38</v>
      </c>
      <c r="K108" s="173">
        <f t="shared" si="106"/>
        <v>300</v>
      </c>
      <c r="L108" s="173">
        <f t="shared" si="106"/>
        <v>262</v>
      </c>
      <c r="M108" s="173">
        <f>IF($D108="","",'Total &amp; Budget Targets'!$G$44)</f>
        <v>0</v>
      </c>
      <c r="N108" s="173">
        <f>IF($D108="","",'Total &amp; Budget Targets'!$G$63)</f>
        <v>0</v>
      </c>
      <c r="O108" s="173">
        <f>IF($D108="","",'Total &amp; Budget Targets'!$G$69)</f>
        <v>0</v>
      </c>
    </row>
    <row r="109" spans="1:15" ht="15.75" customHeight="1" x14ac:dyDescent="0.2">
      <c r="A109" s="165">
        <f t="shared" si="3"/>
        <v>105</v>
      </c>
      <c r="B109" s="172"/>
      <c r="C109" s="169">
        <f>IF(D108="","",IF(D108+1&gt;'Date Info'!$D$21,"",D108+1))</f>
        <v>48853</v>
      </c>
      <c r="D109" s="172">
        <f>IFERROR(IF(C109="","",IF(EOMONTH(C109,0)&gt;'Date Info'!$D$21,'Date Info'!$D$21,EOMONTH(C109,0))),"")</f>
        <v>48883</v>
      </c>
      <c r="E109" s="173">
        <f>IF($D109="","",IFERROR(SUMIFS(Expenses!$E:$E,Expenses!$B:$B,"&gt;="&amp;$C109,Expenses!$B:$B,"&lt;="&amp;$D109),"na"))</f>
        <v>0</v>
      </c>
      <c r="F109" s="173">
        <f>IF($D109="","",IFERROR(SUMIFS(Income!$D:$D,Income!$B:$B,"&gt;="&amp;$C109,Income!$B:$B,"&lt;="&amp;$D109),"na"))</f>
        <v>0</v>
      </c>
      <c r="G109" s="173">
        <f t="shared" si="0"/>
        <v>0</v>
      </c>
      <c r="H109" s="174" t="str">
        <f t="shared" si="1"/>
        <v>na</v>
      </c>
      <c r="I109" s="174" t="str">
        <f t="shared" si="2"/>
        <v>na</v>
      </c>
      <c r="J109" s="173">
        <f t="shared" ref="J109:L109" si="107">IF(E109="","",J$5)</f>
        <v>38</v>
      </c>
      <c r="K109" s="173">
        <f t="shared" si="107"/>
        <v>300</v>
      </c>
      <c r="L109" s="173">
        <f t="shared" si="107"/>
        <v>262</v>
      </c>
      <c r="M109" s="173">
        <f>IF($D109="","",'Total &amp; Budget Targets'!$G$44)</f>
        <v>0</v>
      </c>
      <c r="N109" s="173">
        <f>IF($D109="","",'Total &amp; Budget Targets'!$G$63)</f>
        <v>0</v>
      </c>
      <c r="O109" s="173">
        <f>IF($D109="","",'Total &amp; Budget Targets'!$G$69)</f>
        <v>0</v>
      </c>
    </row>
    <row r="110" spans="1:15" ht="15.75" customHeight="1" x14ac:dyDescent="0.2">
      <c r="A110" s="165">
        <f t="shared" si="3"/>
        <v>106</v>
      </c>
      <c r="B110" s="172"/>
      <c r="C110" s="169">
        <f>IF(D109="","",IF(D109+1&gt;'Date Info'!$D$21,"",D109+1))</f>
        <v>48884</v>
      </c>
      <c r="D110" s="172">
        <f>IFERROR(IF(C110="","",IF(EOMONTH(C110,0)&gt;'Date Info'!$D$21,'Date Info'!$D$21,EOMONTH(C110,0))),"")</f>
        <v>48913</v>
      </c>
      <c r="E110" s="173">
        <f>IF($D110="","",IFERROR(SUMIFS(Expenses!$E:$E,Expenses!$B:$B,"&gt;="&amp;$C110,Expenses!$B:$B,"&lt;="&amp;$D110),"na"))</f>
        <v>0</v>
      </c>
      <c r="F110" s="173">
        <f>IF($D110="","",IFERROR(SUMIFS(Income!$D:$D,Income!$B:$B,"&gt;="&amp;$C110,Income!$B:$B,"&lt;="&amp;$D110),"na"))</f>
        <v>0</v>
      </c>
      <c r="G110" s="173">
        <f t="shared" si="0"/>
        <v>0</v>
      </c>
      <c r="H110" s="174" t="str">
        <f t="shared" si="1"/>
        <v>na</v>
      </c>
      <c r="I110" s="174" t="str">
        <f t="shared" si="2"/>
        <v>na</v>
      </c>
      <c r="J110" s="173">
        <f t="shared" ref="J110:L110" si="108">IF(E110="","",J$5)</f>
        <v>38</v>
      </c>
      <c r="K110" s="173">
        <f t="shared" si="108"/>
        <v>300</v>
      </c>
      <c r="L110" s="173">
        <f t="shared" si="108"/>
        <v>262</v>
      </c>
      <c r="M110" s="173">
        <f>IF($D110="","",'Total &amp; Budget Targets'!$G$44)</f>
        <v>0</v>
      </c>
      <c r="N110" s="173">
        <f>IF($D110="","",'Total &amp; Budget Targets'!$G$63)</f>
        <v>0</v>
      </c>
      <c r="O110" s="173">
        <f>IF($D110="","",'Total &amp; Budget Targets'!$G$69)</f>
        <v>0</v>
      </c>
    </row>
    <row r="111" spans="1:15" ht="15.75" customHeight="1" x14ac:dyDescent="0.2">
      <c r="A111" s="165">
        <f t="shared" si="3"/>
        <v>107</v>
      </c>
      <c r="B111" s="172"/>
      <c r="C111" s="169">
        <f>IF(D110="","",IF(D110+1&gt;'Date Info'!$D$21,"",D110+1))</f>
        <v>48914</v>
      </c>
      <c r="D111" s="172">
        <f>IFERROR(IF(C111="","",IF(EOMONTH(C111,0)&gt;'Date Info'!$D$21,'Date Info'!$D$21,EOMONTH(C111,0))),"")</f>
        <v>48944</v>
      </c>
      <c r="E111" s="173">
        <f>IF($D111="","",IFERROR(SUMIFS(Expenses!$E:$E,Expenses!$B:$B,"&gt;="&amp;$C111,Expenses!$B:$B,"&lt;="&amp;$D111),"na"))</f>
        <v>0</v>
      </c>
      <c r="F111" s="173">
        <f>IF($D111="","",IFERROR(SUMIFS(Income!$D:$D,Income!$B:$B,"&gt;="&amp;$C111,Income!$B:$B,"&lt;="&amp;$D111),"na"))</f>
        <v>0</v>
      </c>
      <c r="G111" s="173">
        <f t="shared" si="0"/>
        <v>0</v>
      </c>
      <c r="H111" s="174" t="str">
        <f t="shared" si="1"/>
        <v>na</v>
      </c>
      <c r="I111" s="174" t="str">
        <f t="shared" si="2"/>
        <v>na</v>
      </c>
      <c r="J111" s="173">
        <f t="shared" ref="J111:L111" si="109">IF(E111="","",J$5)</f>
        <v>38</v>
      </c>
      <c r="K111" s="173">
        <f t="shared" si="109"/>
        <v>300</v>
      </c>
      <c r="L111" s="173">
        <f t="shared" si="109"/>
        <v>262</v>
      </c>
      <c r="M111" s="173">
        <f>IF($D111="","",'Total &amp; Budget Targets'!$G$44)</f>
        <v>0</v>
      </c>
      <c r="N111" s="173">
        <f>IF($D111="","",'Total &amp; Budget Targets'!$G$63)</f>
        <v>0</v>
      </c>
      <c r="O111" s="173">
        <f>IF($D111="","",'Total &amp; Budget Targets'!$G$69)</f>
        <v>0</v>
      </c>
    </row>
    <row r="112" spans="1:15" ht="15.75" customHeight="1" x14ac:dyDescent="0.2">
      <c r="A112" s="165">
        <f t="shared" si="3"/>
        <v>108</v>
      </c>
      <c r="B112" s="172"/>
      <c r="C112" s="169">
        <f>IF(D111="","",IF(D111+1&gt;'Date Info'!$D$21,"",D111+1))</f>
        <v>48945</v>
      </c>
      <c r="D112" s="172">
        <f>IFERROR(IF(C112="","",IF(EOMONTH(C112,0)&gt;'Date Info'!$D$21,'Date Info'!$D$21,EOMONTH(C112,0))),"")</f>
        <v>48975</v>
      </c>
      <c r="E112" s="173">
        <f>IF($D112="","",IFERROR(SUMIFS(Expenses!$E:$E,Expenses!$B:$B,"&gt;="&amp;$C112,Expenses!$B:$B,"&lt;="&amp;$D112),"na"))</f>
        <v>0</v>
      </c>
      <c r="F112" s="173">
        <f>IF($D112="","",IFERROR(SUMIFS(Income!$D:$D,Income!$B:$B,"&gt;="&amp;$C112,Income!$B:$B,"&lt;="&amp;$D112),"na"))</f>
        <v>0</v>
      </c>
      <c r="G112" s="173">
        <f t="shared" si="0"/>
        <v>0</v>
      </c>
      <c r="H112" s="174" t="str">
        <f t="shared" si="1"/>
        <v>na</v>
      </c>
      <c r="I112" s="174" t="str">
        <f t="shared" si="2"/>
        <v>na</v>
      </c>
      <c r="J112" s="173">
        <f t="shared" ref="J112:L112" si="110">IF(E112="","",J$5)</f>
        <v>38</v>
      </c>
      <c r="K112" s="173">
        <f t="shared" si="110"/>
        <v>300</v>
      </c>
      <c r="L112" s="173">
        <f t="shared" si="110"/>
        <v>262</v>
      </c>
      <c r="M112" s="173">
        <f>IF($D112="","",'Total &amp; Budget Targets'!$G$44)</f>
        <v>0</v>
      </c>
      <c r="N112" s="173">
        <f>IF($D112="","",'Total &amp; Budget Targets'!$G$63)</f>
        <v>0</v>
      </c>
      <c r="O112" s="173">
        <f>IF($D112="","",'Total &amp; Budget Targets'!$G$69)</f>
        <v>0</v>
      </c>
    </row>
    <row r="113" spans="1:15" ht="15.75" customHeight="1" x14ac:dyDescent="0.2">
      <c r="A113" s="165">
        <f t="shared" si="3"/>
        <v>109</v>
      </c>
      <c r="B113" s="172"/>
      <c r="C113" s="169">
        <f>IF(D112="","",IF(D112+1&gt;'Date Info'!$D$21,"",D112+1))</f>
        <v>48976</v>
      </c>
      <c r="D113" s="172">
        <f>IFERROR(IF(C113="","",IF(EOMONTH(C113,0)&gt;'Date Info'!$D$21,'Date Info'!$D$21,EOMONTH(C113,0))),"")</f>
        <v>49003</v>
      </c>
      <c r="E113" s="173">
        <f>IF($D113="","",IFERROR(SUMIFS(Expenses!$E:$E,Expenses!$B:$B,"&gt;="&amp;$C113,Expenses!$B:$B,"&lt;="&amp;$D113),"na"))</f>
        <v>0</v>
      </c>
      <c r="F113" s="173">
        <f>IF($D113="","",IFERROR(SUMIFS(Income!$D:$D,Income!$B:$B,"&gt;="&amp;$C113,Income!$B:$B,"&lt;="&amp;$D113),"na"))</f>
        <v>0</v>
      </c>
      <c r="G113" s="173">
        <f t="shared" si="0"/>
        <v>0</v>
      </c>
      <c r="H113" s="174" t="str">
        <f t="shared" si="1"/>
        <v>na</v>
      </c>
      <c r="I113" s="174" t="str">
        <f t="shared" si="2"/>
        <v>na</v>
      </c>
      <c r="J113" s="173">
        <f t="shared" ref="J113:L113" si="111">IF(E113="","",J$5)</f>
        <v>38</v>
      </c>
      <c r="K113" s="173">
        <f t="shared" si="111"/>
        <v>300</v>
      </c>
      <c r="L113" s="173">
        <f t="shared" si="111"/>
        <v>262</v>
      </c>
      <c r="M113" s="173">
        <f>IF($D113="","",'Total &amp; Budget Targets'!$G$44)</f>
        <v>0</v>
      </c>
      <c r="N113" s="173">
        <f>IF($D113="","",'Total &amp; Budget Targets'!$G$63)</f>
        <v>0</v>
      </c>
      <c r="O113" s="173">
        <f>IF($D113="","",'Total &amp; Budget Targets'!$G$69)</f>
        <v>0</v>
      </c>
    </row>
    <row r="114" spans="1:15" ht="15.75" customHeight="1" x14ac:dyDescent="0.2">
      <c r="A114" s="165">
        <f t="shared" si="3"/>
        <v>110</v>
      </c>
      <c r="B114" s="172"/>
      <c r="C114" s="169">
        <f>IF(D113="","",IF(D113+1&gt;'Date Info'!$D$21,"",D113+1))</f>
        <v>49004</v>
      </c>
      <c r="D114" s="172">
        <f>IFERROR(IF(C114="","",IF(EOMONTH(C114,0)&gt;'Date Info'!$D$21,'Date Info'!$D$21,EOMONTH(C114,0))),"")</f>
        <v>49034</v>
      </c>
      <c r="E114" s="173">
        <f>IF($D114="","",IFERROR(SUMIFS(Expenses!$E:$E,Expenses!$B:$B,"&gt;="&amp;$C114,Expenses!$B:$B,"&lt;="&amp;$D114),"na"))</f>
        <v>0</v>
      </c>
      <c r="F114" s="173">
        <f>IF($D114="","",IFERROR(SUMIFS(Income!$D:$D,Income!$B:$B,"&gt;="&amp;$C114,Income!$B:$B,"&lt;="&amp;$D114),"na"))</f>
        <v>0</v>
      </c>
      <c r="G114" s="173">
        <f t="shared" si="0"/>
        <v>0</v>
      </c>
      <c r="H114" s="174" t="str">
        <f t="shared" si="1"/>
        <v>na</v>
      </c>
      <c r="I114" s="174" t="str">
        <f t="shared" si="2"/>
        <v>na</v>
      </c>
      <c r="J114" s="173">
        <f t="shared" ref="J114:L114" si="112">IF(E114="","",J$5)</f>
        <v>38</v>
      </c>
      <c r="K114" s="173">
        <f t="shared" si="112"/>
        <v>300</v>
      </c>
      <c r="L114" s="173">
        <f t="shared" si="112"/>
        <v>262</v>
      </c>
      <c r="M114" s="173">
        <f>IF($D114="","",'Total &amp; Budget Targets'!$G$44)</f>
        <v>0</v>
      </c>
      <c r="N114" s="173">
        <f>IF($D114="","",'Total &amp; Budget Targets'!$G$63)</f>
        <v>0</v>
      </c>
      <c r="O114" s="173">
        <f>IF($D114="","",'Total &amp; Budget Targets'!$G$69)</f>
        <v>0</v>
      </c>
    </row>
    <row r="115" spans="1:15" ht="15.75" customHeight="1" x14ac:dyDescent="0.2">
      <c r="A115" s="165">
        <f t="shared" si="3"/>
        <v>111</v>
      </c>
      <c r="B115" s="172"/>
      <c r="C115" s="169">
        <f>IF(D114="","",IF(D114+1&gt;'Date Info'!$D$21,"",D114+1))</f>
        <v>49035</v>
      </c>
      <c r="D115" s="172">
        <f>IFERROR(IF(C115="","",IF(EOMONTH(C115,0)&gt;'Date Info'!$D$21,'Date Info'!$D$21,EOMONTH(C115,0))),"")</f>
        <v>49064</v>
      </c>
      <c r="E115" s="173">
        <f>IF($D115="","",IFERROR(SUMIFS(Expenses!$E:$E,Expenses!$B:$B,"&gt;="&amp;$C115,Expenses!$B:$B,"&lt;="&amp;$D115),"na"))</f>
        <v>0</v>
      </c>
      <c r="F115" s="173">
        <f>IF($D115="","",IFERROR(SUMIFS(Income!$D:$D,Income!$B:$B,"&gt;="&amp;$C115,Income!$B:$B,"&lt;="&amp;$D115),"na"))</f>
        <v>0</v>
      </c>
      <c r="G115" s="173">
        <f t="shared" si="0"/>
        <v>0</v>
      </c>
      <c r="H115" s="174" t="str">
        <f t="shared" si="1"/>
        <v>na</v>
      </c>
      <c r="I115" s="174" t="str">
        <f t="shared" si="2"/>
        <v>na</v>
      </c>
      <c r="J115" s="173">
        <f t="shared" ref="J115:L115" si="113">IF(E115="","",J$5)</f>
        <v>38</v>
      </c>
      <c r="K115" s="173">
        <f t="shared" si="113"/>
        <v>300</v>
      </c>
      <c r="L115" s="173">
        <f t="shared" si="113"/>
        <v>262</v>
      </c>
      <c r="M115" s="173">
        <f>IF($D115="","",'Total &amp; Budget Targets'!$G$44)</f>
        <v>0</v>
      </c>
      <c r="N115" s="173">
        <f>IF($D115="","",'Total &amp; Budget Targets'!$G$63)</f>
        <v>0</v>
      </c>
      <c r="O115" s="173">
        <f>IF($D115="","",'Total &amp; Budget Targets'!$G$69)</f>
        <v>0</v>
      </c>
    </row>
    <row r="116" spans="1:15" ht="15.75" customHeight="1" x14ac:dyDescent="0.2">
      <c r="A116" s="165">
        <f t="shared" si="3"/>
        <v>112</v>
      </c>
      <c r="B116" s="172"/>
      <c r="C116" s="169">
        <f>IF(D115="","",IF(D115+1&gt;'Date Info'!$D$21,"",D115+1))</f>
        <v>49065</v>
      </c>
      <c r="D116" s="172">
        <f>IFERROR(IF(C116="","",IF(EOMONTH(C116,0)&gt;'Date Info'!$D$21,'Date Info'!$D$21,EOMONTH(C116,0))),"")</f>
        <v>49095</v>
      </c>
      <c r="E116" s="173">
        <f>IF($D116="","",IFERROR(SUMIFS(Expenses!$E:$E,Expenses!$B:$B,"&gt;="&amp;$C116,Expenses!$B:$B,"&lt;="&amp;$D116),"na"))</f>
        <v>0</v>
      </c>
      <c r="F116" s="173">
        <f>IF($D116="","",IFERROR(SUMIFS(Income!$D:$D,Income!$B:$B,"&gt;="&amp;$C116,Income!$B:$B,"&lt;="&amp;$D116),"na"))</f>
        <v>0</v>
      </c>
      <c r="G116" s="173">
        <f t="shared" si="0"/>
        <v>0</v>
      </c>
      <c r="H116" s="174" t="str">
        <f t="shared" si="1"/>
        <v>na</v>
      </c>
      <c r="I116" s="174" t="str">
        <f t="shared" si="2"/>
        <v>na</v>
      </c>
      <c r="J116" s="173">
        <f t="shared" ref="J116:L116" si="114">IF(E116="","",J$5)</f>
        <v>38</v>
      </c>
      <c r="K116" s="173">
        <f t="shared" si="114"/>
        <v>300</v>
      </c>
      <c r="L116" s="173">
        <f t="shared" si="114"/>
        <v>262</v>
      </c>
      <c r="M116" s="173">
        <f>IF($D116="","",'Total &amp; Budget Targets'!$G$44)</f>
        <v>0</v>
      </c>
      <c r="N116" s="173">
        <f>IF($D116="","",'Total &amp; Budget Targets'!$G$63)</f>
        <v>0</v>
      </c>
      <c r="O116" s="173">
        <f>IF($D116="","",'Total &amp; Budget Targets'!$G$69)</f>
        <v>0</v>
      </c>
    </row>
    <row r="117" spans="1:15" ht="15.75" customHeight="1" x14ac:dyDescent="0.2">
      <c r="A117" s="165">
        <f t="shared" si="3"/>
        <v>113</v>
      </c>
      <c r="B117" s="172"/>
      <c r="C117" s="169">
        <f>IF(D116="","",IF(D116+1&gt;'Date Info'!$D$21,"",D116+1))</f>
        <v>49096</v>
      </c>
      <c r="D117" s="172">
        <f>IFERROR(IF(C117="","",IF(EOMONTH(C117,0)&gt;'Date Info'!$D$21,'Date Info'!$D$21,EOMONTH(C117,0))),"")</f>
        <v>49125</v>
      </c>
      <c r="E117" s="173">
        <f>IF($D117="","",IFERROR(SUMIFS(Expenses!$E:$E,Expenses!$B:$B,"&gt;="&amp;$C117,Expenses!$B:$B,"&lt;="&amp;$D117),"na"))</f>
        <v>0</v>
      </c>
      <c r="F117" s="173">
        <f>IF($D117="","",IFERROR(SUMIFS(Income!$D:$D,Income!$B:$B,"&gt;="&amp;$C117,Income!$B:$B,"&lt;="&amp;$D117),"na"))</f>
        <v>0</v>
      </c>
      <c r="G117" s="173">
        <f t="shared" si="0"/>
        <v>0</v>
      </c>
      <c r="H117" s="174" t="str">
        <f t="shared" si="1"/>
        <v>na</v>
      </c>
      <c r="I117" s="174" t="str">
        <f t="shared" si="2"/>
        <v>na</v>
      </c>
      <c r="J117" s="173">
        <f t="shared" ref="J117:L117" si="115">IF(E117="","",J$5)</f>
        <v>38</v>
      </c>
      <c r="K117" s="173">
        <f t="shared" si="115"/>
        <v>300</v>
      </c>
      <c r="L117" s="173">
        <f t="shared" si="115"/>
        <v>262</v>
      </c>
      <c r="M117" s="173">
        <f>IF($D117="","",'Total &amp; Budget Targets'!$G$44)</f>
        <v>0</v>
      </c>
      <c r="N117" s="173">
        <f>IF($D117="","",'Total &amp; Budget Targets'!$G$63)</f>
        <v>0</v>
      </c>
      <c r="O117" s="173">
        <f>IF($D117="","",'Total &amp; Budget Targets'!$G$69)</f>
        <v>0</v>
      </c>
    </row>
    <row r="118" spans="1:15" ht="15.75" customHeight="1" x14ac:dyDescent="0.2">
      <c r="A118" s="165">
        <f t="shared" si="3"/>
        <v>114</v>
      </c>
      <c r="B118" s="172"/>
      <c r="C118" s="169">
        <f>IF(D117="","",IF(D117+1&gt;'Date Info'!$D$21,"",D117+1))</f>
        <v>49126</v>
      </c>
      <c r="D118" s="172">
        <f>IFERROR(IF(C118="","",IF(EOMONTH(C118,0)&gt;'Date Info'!$D$21,'Date Info'!$D$21,EOMONTH(C118,0))),"")</f>
        <v>49156</v>
      </c>
      <c r="E118" s="173">
        <f>IF($D118="","",IFERROR(SUMIFS(Expenses!$E:$E,Expenses!$B:$B,"&gt;="&amp;$C118,Expenses!$B:$B,"&lt;="&amp;$D118),"na"))</f>
        <v>0</v>
      </c>
      <c r="F118" s="173">
        <f>IF($D118="","",IFERROR(SUMIFS(Income!$D:$D,Income!$B:$B,"&gt;="&amp;$C118,Income!$B:$B,"&lt;="&amp;$D118),"na"))</f>
        <v>0</v>
      </c>
      <c r="G118" s="173">
        <f t="shared" si="0"/>
        <v>0</v>
      </c>
      <c r="H118" s="174" t="str">
        <f t="shared" si="1"/>
        <v>na</v>
      </c>
      <c r="I118" s="174" t="str">
        <f t="shared" si="2"/>
        <v>na</v>
      </c>
      <c r="J118" s="173">
        <f t="shared" ref="J118:L118" si="116">IF(E118="","",J$5)</f>
        <v>38</v>
      </c>
      <c r="K118" s="173">
        <f t="shared" si="116"/>
        <v>300</v>
      </c>
      <c r="L118" s="173">
        <f t="shared" si="116"/>
        <v>262</v>
      </c>
      <c r="M118" s="173">
        <f>IF($D118="","",'Total &amp; Budget Targets'!$G$44)</f>
        <v>0</v>
      </c>
      <c r="N118" s="173">
        <f>IF($D118="","",'Total &amp; Budget Targets'!$G$63)</f>
        <v>0</v>
      </c>
      <c r="O118" s="173">
        <f>IF($D118="","",'Total &amp; Budget Targets'!$G$69)</f>
        <v>0</v>
      </c>
    </row>
    <row r="119" spans="1:15" ht="15.75" customHeight="1" x14ac:dyDescent="0.2">
      <c r="A119" s="165">
        <f t="shared" si="3"/>
        <v>115</v>
      </c>
      <c r="B119" s="172"/>
      <c r="C119" s="169">
        <f>IF(D118="","",IF(D118+1&gt;'Date Info'!$D$21,"",D118+1))</f>
        <v>49157</v>
      </c>
      <c r="D119" s="172">
        <f>IFERROR(IF(C119="","",IF(EOMONTH(C119,0)&gt;'Date Info'!$D$21,'Date Info'!$D$21,EOMONTH(C119,0))),"")</f>
        <v>49187</v>
      </c>
      <c r="E119" s="173">
        <f>IF($D119="","",IFERROR(SUMIFS(Expenses!$E:$E,Expenses!$B:$B,"&gt;="&amp;$C119,Expenses!$B:$B,"&lt;="&amp;$D119),"na"))</f>
        <v>0</v>
      </c>
      <c r="F119" s="173">
        <f>IF($D119="","",IFERROR(SUMIFS(Income!$D:$D,Income!$B:$B,"&gt;="&amp;$C119,Income!$B:$B,"&lt;="&amp;$D119),"na"))</f>
        <v>0</v>
      </c>
      <c r="G119" s="173">
        <f t="shared" si="0"/>
        <v>0</v>
      </c>
      <c r="H119" s="174" t="str">
        <f t="shared" si="1"/>
        <v>na</v>
      </c>
      <c r="I119" s="174" t="str">
        <f t="shared" si="2"/>
        <v>na</v>
      </c>
      <c r="J119" s="173">
        <f t="shared" ref="J119:L119" si="117">IF(E119="","",J$5)</f>
        <v>38</v>
      </c>
      <c r="K119" s="173">
        <f t="shared" si="117"/>
        <v>300</v>
      </c>
      <c r="L119" s="173">
        <f t="shared" si="117"/>
        <v>262</v>
      </c>
      <c r="M119" s="173">
        <f>IF($D119="","",'Total &amp; Budget Targets'!$G$44)</f>
        <v>0</v>
      </c>
      <c r="N119" s="173">
        <f>IF($D119="","",'Total &amp; Budget Targets'!$G$63)</f>
        <v>0</v>
      </c>
      <c r="O119" s="173">
        <f>IF($D119="","",'Total &amp; Budget Targets'!$G$69)</f>
        <v>0</v>
      </c>
    </row>
    <row r="120" spans="1:15" ht="15.75" customHeight="1" x14ac:dyDescent="0.2">
      <c r="A120" s="165">
        <f t="shared" si="3"/>
        <v>116</v>
      </c>
      <c r="B120" s="172"/>
      <c r="C120" s="169">
        <f>IF(D119="","",IF(D119+1&gt;'Date Info'!$D$21,"",D119+1))</f>
        <v>49188</v>
      </c>
      <c r="D120" s="172">
        <f>IFERROR(IF(C120="","",IF(EOMONTH(C120,0)&gt;'Date Info'!$D$21,'Date Info'!$D$21,EOMONTH(C120,0))),"")</f>
        <v>49217</v>
      </c>
      <c r="E120" s="173">
        <f>IF($D120="","",IFERROR(SUMIFS(Expenses!$E:$E,Expenses!$B:$B,"&gt;="&amp;$C120,Expenses!$B:$B,"&lt;="&amp;$D120),"na"))</f>
        <v>0</v>
      </c>
      <c r="F120" s="173">
        <f>IF($D120="","",IFERROR(SUMIFS(Income!$D:$D,Income!$B:$B,"&gt;="&amp;$C120,Income!$B:$B,"&lt;="&amp;$D120),"na"))</f>
        <v>0</v>
      </c>
      <c r="G120" s="173">
        <f t="shared" si="0"/>
        <v>0</v>
      </c>
      <c r="H120" s="174" t="str">
        <f t="shared" si="1"/>
        <v>na</v>
      </c>
      <c r="I120" s="174" t="str">
        <f t="shared" si="2"/>
        <v>na</v>
      </c>
      <c r="J120" s="173">
        <f t="shared" ref="J120:L120" si="118">IF(E120="","",J$5)</f>
        <v>38</v>
      </c>
      <c r="K120" s="173">
        <f t="shared" si="118"/>
        <v>300</v>
      </c>
      <c r="L120" s="173">
        <f t="shared" si="118"/>
        <v>262</v>
      </c>
      <c r="M120" s="173">
        <f>IF($D120="","",'Total &amp; Budget Targets'!$G$44)</f>
        <v>0</v>
      </c>
      <c r="N120" s="173">
        <f>IF($D120="","",'Total &amp; Budget Targets'!$G$63)</f>
        <v>0</v>
      </c>
      <c r="O120" s="173">
        <f>IF($D120="","",'Total &amp; Budget Targets'!$G$69)</f>
        <v>0</v>
      </c>
    </row>
    <row r="121" spans="1:15" ht="15.75" customHeight="1" x14ac:dyDescent="0.2">
      <c r="A121" s="165">
        <f t="shared" si="3"/>
        <v>117</v>
      </c>
      <c r="B121" s="172"/>
      <c r="C121" s="169">
        <f>IF(D120="","",IF(D120+1&gt;'Date Info'!$D$21,"",D120+1))</f>
        <v>49218</v>
      </c>
      <c r="D121" s="172">
        <f>IFERROR(IF(C121="","",IF(EOMONTH(C121,0)&gt;'Date Info'!$D$21,'Date Info'!$D$21,EOMONTH(C121,0))),"")</f>
        <v>49248</v>
      </c>
      <c r="E121" s="173">
        <f>IF($D121="","",IFERROR(SUMIFS(Expenses!$E:$E,Expenses!$B:$B,"&gt;="&amp;$C121,Expenses!$B:$B,"&lt;="&amp;$D121),"na"))</f>
        <v>0</v>
      </c>
      <c r="F121" s="173">
        <f>IF($D121="","",IFERROR(SUMIFS(Income!$D:$D,Income!$B:$B,"&gt;="&amp;$C121,Income!$B:$B,"&lt;="&amp;$D121),"na"))</f>
        <v>0</v>
      </c>
      <c r="G121" s="173">
        <f t="shared" si="0"/>
        <v>0</v>
      </c>
      <c r="H121" s="174" t="str">
        <f t="shared" si="1"/>
        <v>na</v>
      </c>
      <c r="I121" s="174" t="str">
        <f t="shared" si="2"/>
        <v>na</v>
      </c>
      <c r="J121" s="173">
        <f t="shared" ref="J121:L121" si="119">IF(E121="","",J$5)</f>
        <v>38</v>
      </c>
      <c r="K121" s="173">
        <f t="shared" si="119"/>
        <v>300</v>
      </c>
      <c r="L121" s="173">
        <f t="shared" si="119"/>
        <v>262</v>
      </c>
      <c r="M121" s="173">
        <f>IF($D121="","",'Total &amp; Budget Targets'!$G$44)</f>
        <v>0</v>
      </c>
      <c r="N121" s="173">
        <f>IF($D121="","",'Total &amp; Budget Targets'!$G$63)</f>
        <v>0</v>
      </c>
      <c r="O121" s="173">
        <f>IF($D121="","",'Total &amp; Budget Targets'!$G$69)</f>
        <v>0</v>
      </c>
    </row>
    <row r="122" spans="1:15" ht="15.75" customHeight="1" x14ac:dyDescent="0.2">
      <c r="A122" s="165">
        <f t="shared" si="3"/>
        <v>118</v>
      </c>
      <c r="B122" s="172"/>
      <c r="C122" s="169">
        <f>IF(D121="","",IF(D121+1&gt;'Date Info'!$D$21,"",D121+1))</f>
        <v>49249</v>
      </c>
      <c r="D122" s="172">
        <f>IFERROR(IF(C122="","",IF(EOMONTH(C122,0)&gt;'Date Info'!$D$21,'Date Info'!$D$21,EOMONTH(C122,0))),"")</f>
        <v>49278</v>
      </c>
      <c r="E122" s="173">
        <f>IF($D122="","",IFERROR(SUMIFS(Expenses!$E:$E,Expenses!$B:$B,"&gt;="&amp;$C122,Expenses!$B:$B,"&lt;="&amp;$D122),"na"))</f>
        <v>0</v>
      </c>
      <c r="F122" s="173">
        <f>IF($D122="","",IFERROR(SUMIFS(Income!$D:$D,Income!$B:$B,"&gt;="&amp;$C122,Income!$B:$B,"&lt;="&amp;$D122),"na"))</f>
        <v>0</v>
      </c>
      <c r="G122" s="173">
        <f t="shared" si="0"/>
        <v>0</v>
      </c>
      <c r="H122" s="174" t="str">
        <f t="shared" si="1"/>
        <v>na</v>
      </c>
      <c r="I122" s="174" t="str">
        <f t="shared" si="2"/>
        <v>na</v>
      </c>
      <c r="J122" s="173">
        <f t="shared" ref="J122:L122" si="120">IF(E122="","",J$5)</f>
        <v>38</v>
      </c>
      <c r="K122" s="173">
        <f t="shared" si="120"/>
        <v>300</v>
      </c>
      <c r="L122" s="173">
        <f t="shared" si="120"/>
        <v>262</v>
      </c>
      <c r="M122" s="173">
        <f>IF($D122="","",'Total &amp; Budget Targets'!$G$44)</f>
        <v>0</v>
      </c>
      <c r="N122" s="173">
        <f>IF($D122="","",'Total &amp; Budget Targets'!$G$63)</f>
        <v>0</v>
      </c>
      <c r="O122" s="173">
        <f>IF($D122="","",'Total &amp; Budget Targets'!$G$69)</f>
        <v>0</v>
      </c>
    </row>
    <row r="123" spans="1:15" ht="15.75" customHeight="1" x14ac:dyDescent="0.2">
      <c r="A123" s="165">
        <f t="shared" si="3"/>
        <v>119</v>
      </c>
      <c r="B123" s="172"/>
      <c r="C123" s="169">
        <f>IF(D122="","",IF(D122+1&gt;'Date Info'!$D$21,"",D122+1))</f>
        <v>49279</v>
      </c>
      <c r="D123" s="172">
        <f>IFERROR(IF(C123="","",IF(EOMONTH(C123,0)&gt;'Date Info'!$D$21,'Date Info'!$D$21,EOMONTH(C123,0))),"")</f>
        <v>49309</v>
      </c>
      <c r="E123" s="173">
        <f>IF($D123="","",IFERROR(SUMIFS(Expenses!$E:$E,Expenses!$B:$B,"&gt;="&amp;$C123,Expenses!$B:$B,"&lt;="&amp;$D123),"na"))</f>
        <v>0</v>
      </c>
      <c r="F123" s="173">
        <f>IF($D123="","",IFERROR(SUMIFS(Income!$D:$D,Income!$B:$B,"&gt;="&amp;$C123,Income!$B:$B,"&lt;="&amp;$D123),"na"))</f>
        <v>0</v>
      </c>
      <c r="G123" s="173">
        <f t="shared" si="0"/>
        <v>0</v>
      </c>
      <c r="H123" s="174" t="str">
        <f t="shared" si="1"/>
        <v>na</v>
      </c>
      <c r="I123" s="174" t="str">
        <f t="shared" si="2"/>
        <v>na</v>
      </c>
      <c r="J123" s="173">
        <f t="shared" ref="J123:L123" si="121">IF(E123="","",J$5)</f>
        <v>38</v>
      </c>
      <c r="K123" s="173">
        <f t="shared" si="121"/>
        <v>300</v>
      </c>
      <c r="L123" s="173">
        <f t="shared" si="121"/>
        <v>262</v>
      </c>
      <c r="M123" s="173">
        <f>IF($D123="","",'Total &amp; Budget Targets'!$G$44)</f>
        <v>0</v>
      </c>
      <c r="N123" s="173">
        <f>IF($D123="","",'Total &amp; Budget Targets'!$G$63)</f>
        <v>0</v>
      </c>
      <c r="O123" s="173">
        <f>IF($D123="","",'Total &amp; Budget Targets'!$G$69)</f>
        <v>0</v>
      </c>
    </row>
    <row r="124" spans="1:15" ht="15.75" customHeight="1" x14ac:dyDescent="0.2">
      <c r="A124" s="165">
        <f t="shared" si="3"/>
        <v>120</v>
      </c>
      <c r="B124" s="172"/>
      <c r="C124" s="169">
        <f>IF(D123="","",IF(D123+1&gt;'Date Info'!$D$21,"",D123+1))</f>
        <v>49310</v>
      </c>
      <c r="D124" s="172">
        <f>IFERROR(IF(C124="","",IF(EOMONTH(C124,0)&gt;'Date Info'!$D$21,'Date Info'!$D$21,EOMONTH(C124,0))),"")</f>
        <v>49340</v>
      </c>
      <c r="E124" s="173">
        <f>IF($D124="","",IFERROR(SUMIFS(Expenses!$E:$E,Expenses!$B:$B,"&gt;="&amp;$C124,Expenses!$B:$B,"&lt;="&amp;$D124),"na"))</f>
        <v>0</v>
      </c>
      <c r="F124" s="173">
        <f>IF($D124="","",IFERROR(SUMIFS(Income!$D:$D,Income!$B:$B,"&gt;="&amp;$C124,Income!$B:$B,"&lt;="&amp;$D124),"na"))</f>
        <v>0</v>
      </c>
      <c r="G124" s="173">
        <f t="shared" si="0"/>
        <v>0</v>
      </c>
      <c r="H124" s="174" t="str">
        <f t="shared" si="1"/>
        <v>na</v>
      </c>
      <c r="I124" s="174" t="str">
        <f t="shared" si="2"/>
        <v>na</v>
      </c>
      <c r="J124" s="173">
        <f t="shared" ref="J124:L124" si="122">IF(E124="","",J$5)</f>
        <v>38</v>
      </c>
      <c r="K124" s="173">
        <f t="shared" si="122"/>
        <v>300</v>
      </c>
      <c r="L124" s="173">
        <f t="shared" si="122"/>
        <v>262</v>
      </c>
      <c r="M124" s="173">
        <f>IF($D124="","",'Total &amp; Budget Targets'!$G$44)</f>
        <v>0</v>
      </c>
      <c r="N124" s="173">
        <f>IF($D124="","",'Total &amp; Budget Targets'!$G$63)</f>
        <v>0</v>
      </c>
      <c r="O124" s="173">
        <f>IF($D124="","",'Total &amp; Budget Targets'!$G$69)</f>
        <v>0</v>
      </c>
    </row>
    <row r="125" spans="1:15" ht="15.75" customHeight="1" x14ac:dyDescent="0.2">
      <c r="A125" s="165">
        <f t="shared" si="3"/>
        <v>121</v>
      </c>
      <c r="B125" s="172"/>
      <c r="C125" s="169">
        <f>IF(D124="","",IF(D124+1&gt;'Date Info'!$D$21,"",D124+1))</f>
        <v>49341</v>
      </c>
      <c r="D125" s="172">
        <f>IFERROR(IF(C125="","",IF(EOMONTH(C125,0)&gt;'Date Info'!$D$21,'Date Info'!$D$21,EOMONTH(C125,0))),"")</f>
        <v>49368</v>
      </c>
      <c r="E125" s="173">
        <f>IF($D125="","",IFERROR(SUMIFS(Expenses!$E:$E,Expenses!$B:$B,"&gt;="&amp;$C125,Expenses!$B:$B,"&lt;="&amp;$D125),"na"))</f>
        <v>0</v>
      </c>
      <c r="F125" s="173">
        <f>IF($D125="","",IFERROR(SUMIFS(Income!$D:$D,Income!$B:$B,"&gt;="&amp;$C125,Income!$B:$B,"&lt;="&amp;$D125),"na"))</f>
        <v>0</v>
      </c>
      <c r="G125" s="173">
        <f t="shared" si="0"/>
        <v>0</v>
      </c>
      <c r="H125" s="174" t="str">
        <f t="shared" si="1"/>
        <v>na</v>
      </c>
      <c r="I125" s="174" t="str">
        <f t="shared" si="2"/>
        <v>na</v>
      </c>
      <c r="J125" s="173">
        <f t="shared" ref="J125:L125" si="123">IF(E125="","",J$5)</f>
        <v>38</v>
      </c>
      <c r="K125" s="173">
        <f t="shared" si="123"/>
        <v>300</v>
      </c>
      <c r="L125" s="173">
        <f t="shared" si="123"/>
        <v>262</v>
      </c>
      <c r="M125" s="173">
        <f>IF($D125="","",'Total &amp; Budget Targets'!$G$44)</f>
        <v>0</v>
      </c>
      <c r="N125" s="173">
        <f>IF($D125="","",'Total &amp; Budget Targets'!$G$63)</f>
        <v>0</v>
      </c>
      <c r="O125" s="173">
        <f>IF($D125="","",'Total &amp; Budget Targets'!$G$69)</f>
        <v>0</v>
      </c>
    </row>
    <row r="126" spans="1:15" ht="15.75" customHeight="1" x14ac:dyDescent="0.2">
      <c r="A126" s="165">
        <f t="shared" si="3"/>
        <v>122</v>
      </c>
      <c r="B126" s="172"/>
      <c r="C126" s="169">
        <f>IF(D125="","",IF(D125+1&gt;'Date Info'!$D$21,"",D125+1))</f>
        <v>49369</v>
      </c>
      <c r="D126" s="172">
        <f>IFERROR(IF(C126="","",IF(EOMONTH(C126,0)&gt;'Date Info'!$D$21,'Date Info'!$D$21,EOMONTH(C126,0))),"")</f>
        <v>49399</v>
      </c>
      <c r="E126" s="173">
        <f>IF($D126="","",IFERROR(SUMIFS(Expenses!$E:$E,Expenses!$B:$B,"&gt;="&amp;$C126,Expenses!$B:$B,"&lt;="&amp;$D126),"na"))</f>
        <v>0</v>
      </c>
      <c r="F126" s="173">
        <f>IF($D126="","",IFERROR(SUMIFS(Income!$D:$D,Income!$B:$B,"&gt;="&amp;$C126,Income!$B:$B,"&lt;="&amp;$D126),"na"))</f>
        <v>0</v>
      </c>
      <c r="G126" s="173">
        <f t="shared" si="0"/>
        <v>0</v>
      </c>
      <c r="H126" s="174" t="str">
        <f t="shared" si="1"/>
        <v>na</v>
      </c>
      <c r="I126" s="174" t="str">
        <f t="shared" si="2"/>
        <v>na</v>
      </c>
      <c r="J126" s="173">
        <f t="shared" ref="J126:L126" si="124">IF(E126="","",J$5)</f>
        <v>38</v>
      </c>
      <c r="K126" s="173">
        <f t="shared" si="124"/>
        <v>300</v>
      </c>
      <c r="L126" s="173">
        <f t="shared" si="124"/>
        <v>262</v>
      </c>
      <c r="M126" s="173">
        <f>IF($D126="","",'Total &amp; Budget Targets'!$G$44)</f>
        <v>0</v>
      </c>
      <c r="N126" s="173">
        <f>IF($D126="","",'Total &amp; Budget Targets'!$G$63)</f>
        <v>0</v>
      </c>
      <c r="O126" s="173">
        <f>IF($D126="","",'Total &amp; Budget Targets'!$G$69)</f>
        <v>0</v>
      </c>
    </row>
    <row r="127" spans="1:15" ht="15.75" customHeight="1" x14ac:dyDescent="0.2">
      <c r="A127" s="165">
        <f t="shared" si="3"/>
        <v>123</v>
      </c>
      <c r="B127" s="172"/>
      <c r="C127" s="169">
        <f>IF(D126="","",IF(D126+1&gt;'Date Info'!$D$21,"",D126+1))</f>
        <v>49400</v>
      </c>
      <c r="D127" s="172">
        <f>IFERROR(IF(C127="","",IF(EOMONTH(C127,0)&gt;'Date Info'!$D$21,'Date Info'!$D$21,EOMONTH(C127,0))),"")</f>
        <v>49429</v>
      </c>
      <c r="E127" s="173">
        <f>IF($D127="","",IFERROR(SUMIFS(Expenses!$E:$E,Expenses!$B:$B,"&gt;="&amp;$C127,Expenses!$B:$B,"&lt;="&amp;$D127),"na"))</f>
        <v>0</v>
      </c>
      <c r="F127" s="173">
        <f>IF($D127="","",IFERROR(SUMIFS(Income!$D:$D,Income!$B:$B,"&gt;="&amp;$C127,Income!$B:$B,"&lt;="&amp;$D127),"na"))</f>
        <v>0</v>
      </c>
      <c r="G127" s="173">
        <f t="shared" si="0"/>
        <v>0</v>
      </c>
      <c r="H127" s="174" t="str">
        <f t="shared" si="1"/>
        <v>na</v>
      </c>
      <c r="I127" s="174" t="str">
        <f t="shared" si="2"/>
        <v>na</v>
      </c>
      <c r="J127" s="173">
        <f t="shared" ref="J127:L127" si="125">IF(E127="","",J$5)</f>
        <v>38</v>
      </c>
      <c r="K127" s="173">
        <f t="shared" si="125"/>
        <v>300</v>
      </c>
      <c r="L127" s="173">
        <f t="shared" si="125"/>
        <v>262</v>
      </c>
      <c r="M127" s="173">
        <f>IF($D127="","",'Total &amp; Budget Targets'!$G$44)</f>
        <v>0</v>
      </c>
      <c r="N127" s="173">
        <f>IF($D127="","",'Total &amp; Budget Targets'!$G$63)</f>
        <v>0</v>
      </c>
      <c r="O127" s="173">
        <f>IF($D127="","",'Total &amp; Budget Targets'!$G$69)</f>
        <v>0</v>
      </c>
    </row>
    <row r="128" spans="1:15" ht="15.75" customHeight="1" x14ac:dyDescent="0.2">
      <c r="A128" s="165">
        <f t="shared" si="3"/>
        <v>124</v>
      </c>
      <c r="B128" s="172"/>
      <c r="C128" s="169">
        <f>IF(D127="","",IF(D127+1&gt;'Date Info'!$D$21,"",D127+1))</f>
        <v>49430</v>
      </c>
      <c r="D128" s="172">
        <f>IFERROR(IF(C128="","",IF(EOMONTH(C128,0)&gt;'Date Info'!$D$21,'Date Info'!$D$21,EOMONTH(C128,0))),"")</f>
        <v>49460</v>
      </c>
      <c r="E128" s="173">
        <f>IF($D128="","",IFERROR(SUMIFS(Expenses!$E:$E,Expenses!$B:$B,"&gt;="&amp;$C128,Expenses!$B:$B,"&lt;="&amp;$D128),"na"))</f>
        <v>0</v>
      </c>
      <c r="F128" s="173">
        <f>IF($D128="","",IFERROR(SUMIFS(Income!$D:$D,Income!$B:$B,"&gt;="&amp;$C128,Income!$B:$B,"&lt;="&amp;$D128),"na"))</f>
        <v>0</v>
      </c>
      <c r="G128" s="173">
        <f t="shared" si="0"/>
        <v>0</v>
      </c>
      <c r="H128" s="174" t="str">
        <f t="shared" si="1"/>
        <v>na</v>
      </c>
      <c r="I128" s="174" t="str">
        <f t="shared" si="2"/>
        <v>na</v>
      </c>
      <c r="J128" s="173">
        <f t="shared" ref="J128:L128" si="126">IF(E128="","",J$5)</f>
        <v>38</v>
      </c>
      <c r="K128" s="173">
        <f t="shared" si="126"/>
        <v>300</v>
      </c>
      <c r="L128" s="173">
        <f t="shared" si="126"/>
        <v>262</v>
      </c>
      <c r="M128" s="173">
        <f>IF($D128="","",'Total &amp; Budget Targets'!$G$44)</f>
        <v>0</v>
      </c>
      <c r="N128" s="173">
        <f>IF($D128="","",'Total &amp; Budget Targets'!$G$63)</f>
        <v>0</v>
      </c>
      <c r="O128" s="173">
        <f>IF($D128="","",'Total &amp; Budget Targets'!$G$69)</f>
        <v>0</v>
      </c>
    </row>
    <row r="129" spans="1:15" ht="15.75" customHeight="1" x14ac:dyDescent="0.2">
      <c r="A129" s="165">
        <f t="shared" si="3"/>
        <v>125</v>
      </c>
      <c r="B129" s="172"/>
      <c r="C129" s="169">
        <f>IF(D128="","",IF(D128+1&gt;'Date Info'!$D$21,"",D128+1))</f>
        <v>49461</v>
      </c>
      <c r="D129" s="172">
        <f>IFERROR(IF(C129="","",IF(EOMONTH(C129,0)&gt;'Date Info'!$D$21,'Date Info'!$D$21,EOMONTH(C129,0))),"")</f>
        <v>49490</v>
      </c>
      <c r="E129" s="173">
        <f>IF($D129="","",IFERROR(SUMIFS(Expenses!$E:$E,Expenses!$B:$B,"&gt;="&amp;$C129,Expenses!$B:$B,"&lt;="&amp;$D129),"na"))</f>
        <v>0</v>
      </c>
      <c r="F129" s="173">
        <f>IF($D129="","",IFERROR(SUMIFS(Income!$D:$D,Income!$B:$B,"&gt;="&amp;$C129,Income!$B:$B,"&lt;="&amp;$D129),"na"))</f>
        <v>0</v>
      </c>
      <c r="G129" s="173">
        <f t="shared" si="0"/>
        <v>0</v>
      </c>
      <c r="H129" s="174" t="str">
        <f t="shared" si="1"/>
        <v>na</v>
      </c>
      <c r="I129" s="174" t="str">
        <f t="shared" si="2"/>
        <v>na</v>
      </c>
      <c r="J129" s="173">
        <f t="shared" ref="J129:L129" si="127">IF(E129="","",J$5)</f>
        <v>38</v>
      </c>
      <c r="K129" s="173">
        <f t="shared" si="127"/>
        <v>300</v>
      </c>
      <c r="L129" s="173">
        <f t="shared" si="127"/>
        <v>262</v>
      </c>
      <c r="M129" s="173">
        <f>IF($D129="","",'Total &amp; Budget Targets'!$G$44)</f>
        <v>0</v>
      </c>
      <c r="N129" s="173">
        <f>IF($D129="","",'Total &amp; Budget Targets'!$G$63)</f>
        <v>0</v>
      </c>
      <c r="O129" s="173">
        <f>IF($D129="","",'Total &amp; Budget Targets'!$G$69)</f>
        <v>0</v>
      </c>
    </row>
    <row r="130" spans="1:15" ht="15.75" customHeight="1" x14ac:dyDescent="0.2">
      <c r="A130" s="165">
        <f t="shared" si="3"/>
        <v>126</v>
      </c>
      <c r="B130" s="172"/>
      <c r="C130" s="169">
        <f>IF(D129="","",IF(D129+1&gt;'Date Info'!$D$21,"",D129+1))</f>
        <v>49491</v>
      </c>
      <c r="D130" s="172">
        <f>IFERROR(IF(C130="","",IF(EOMONTH(C130,0)&gt;'Date Info'!$D$21,'Date Info'!$D$21,EOMONTH(C130,0))),"")</f>
        <v>49521</v>
      </c>
      <c r="E130" s="173">
        <f>IF($D130="","",IFERROR(SUMIFS(Expenses!$E:$E,Expenses!$B:$B,"&gt;="&amp;$C130,Expenses!$B:$B,"&lt;="&amp;$D130),"na"))</f>
        <v>0</v>
      </c>
      <c r="F130" s="173">
        <f>IF($D130="","",IFERROR(SUMIFS(Income!$D:$D,Income!$B:$B,"&gt;="&amp;$C130,Income!$B:$B,"&lt;="&amp;$D130),"na"))</f>
        <v>0</v>
      </c>
      <c r="G130" s="173">
        <f t="shared" si="0"/>
        <v>0</v>
      </c>
      <c r="H130" s="174" t="str">
        <f t="shared" si="1"/>
        <v>na</v>
      </c>
      <c r="I130" s="174" t="str">
        <f t="shared" si="2"/>
        <v>na</v>
      </c>
      <c r="J130" s="173">
        <f t="shared" ref="J130:L130" si="128">IF(E130="","",J$5)</f>
        <v>38</v>
      </c>
      <c r="K130" s="173">
        <f t="shared" si="128"/>
        <v>300</v>
      </c>
      <c r="L130" s="173">
        <f t="shared" si="128"/>
        <v>262</v>
      </c>
      <c r="M130" s="173">
        <f>IF($D130="","",'Total &amp; Budget Targets'!$G$44)</f>
        <v>0</v>
      </c>
      <c r="N130" s="173">
        <f>IF($D130="","",'Total &amp; Budget Targets'!$G$63)</f>
        <v>0</v>
      </c>
      <c r="O130" s="173">
        <f>IF($D130="","",'Total &amp; Budget Targets'!$G$69)</f>
        <v>0</v>
      </c>
    </row>
    <row r="131" spans="1:15" ht="15.75" customHeight="1" x14ac:dyDescent="0.2">
      <c r="A131" s="165">
        <f t="shared" si="3"/>
        <v>127</v>
      </c>
      <c r="B131" s="172"/>
      <c r="C131" s="169">
        <f>IF(D130="","",IF(D130+1&gt;'Date Info'!$D$21,"",D130+1))</f>
        <v>49522</v>
      </c>
      <c r="D131" s="172">
        <f>IFERROR(IF(C131="","",IF(EOMONTH(C131,0)&gt;'Date Info'!$D$21,'Date Info'!$D$21,EOMONTH(C131,0))),"")</f>
        <v>49552</v>
      </c>
      <c r="E131" s="173">
        <f>IF($D131="","",IFERROR(SUMIFS(Expenses!$E:$E,Expenses!$B:$B,"&gt;="&amp;$C131,Expenses!$B:$B,"&lt;="&amp;$D131),"na"))</f>
        <v>0</v>
      </c>
      <c r="F131" s="173">
        <f>IF($D131="","",IFERROR(SUMIFS(Income!$D:$D,Income!$B:$B,"&gt;="&amp;$C131,Income!$B:$B,"&lt;="&amp;$D131),"na"))</f>
        <v>0</v>
      </c>
      <c r="G131" s="173">
        <f t="shared" si="0"/>
        <v>0</v>
      </c>
      <c r="H131" s="174" t="str">
        <f t="shared" si="1"/>
        <v>na</v>
      </c>
      <c r="I131" s="174" t="str">
        <f t="shared" si="2"/>
        <v>na</v>
      </c>
      <c r="J131" s="173">
        <f t="shared" ref="J131:L131" si="129">IF(E131="","",J$5)</f>
        <v>38</v>
      </c>
      <c r="K131" s="173">
        <f t="shared" si="129"/>
        <v>300</v>
      </c>
      <c r="L131" s="173">
        <f t="shared" si="129"/>
        <v>262</v>
      </c>
      <c r="M131" s="173">
        <f>IF($D131="","",'Total &amp; Budget Targets'!$G$44)</f>
        <v>0</v>
      </c>
      <c r="N131" s="173">
        <f>IF($D131="","",'Total &amp; Budget Targets'!$G$63)</f>
        <v>0</v>
      </c>
      <c r="O131" s="173">
        <f>IF($D131="","",'Total &amp; Budget Targets'!$G$69)</f>
        <v>0</v>
      </c>
    </row>
    <row r="132" spans="1:15" ht="15.75" customHeight="1" x14ac:dyDescent="0.2">
      <c r="A132" s="165">
        <f t="shared" si="3"/>
        <v>128</v>
      </c>
      <c r="B132" s="172"/>
      <c r="C132" s="169">
        <f>IF(D131="","",IF(D131+1&gt;'Date Info'!$D$21,"",D131+1))</f>
        <v>49553</v>
      </c>
      <c r="D132" s="172">
        <f>IFERROR(IF(C132="","",IF(EOMONTH(C132,0)&gt;'Date Info'!$D$21,'Date Info'!$D$21,EOMONTH(C132,0))),"")</f>
        <v>49582</v>
      </c>
      <c r="E132" s="173">
        <f>IF($D132="","",IFERROR(SUMIFS(Expenses!$E:$E,Expenses!$B:$B,"&gt;="&amp;$C132,Expenses!$B:$B,"&lt;="&amp;$D132),"na"))</f>
        <v>0</v>
      </c>
      <c r="F132" s="173">
        <f>IF($D132="","",IFERROR(SUMIFS(Income!$D:$D,Income!$B:$B,"&gt;="&amp;$C132,Income!$B:$B,"&lt;="&amp;$D132),"na"))</f>
        <v>0</v>
      </c>
      <c r="G132" s="173">
        <f t="shared" si="0"/>
        <v>0</v>
      </c>
      <c r="H132" s="174" t="str">
        <f t="shared" si="1"/>
        <v>na</v>
      </c>
      <c r="I132" s="174" t="str">
        <f t="shared" si="2"/>
        <v>na</v>
      </c>
      <c r="J132" s="173">
        <f t="shared" ref="J132:L132" si="130">IF(E132="","",J$5)</f>
        <v>38</v>
      </c>
      <c r="K132" s="173">
        <f t="shared" si="130"/>
        <v>300</v>
      </c>
      <c r="L132" s="173">
        <f t="shared" si="130"/>
        <v>262</v>
      </c>
      <c r="M132" s="173">
        <f>IF($D132="","",'Total &amp; Budget Targets'!$G$44)</f>
        <v>0</v>
      </c>
      <c r="N132" s="173">
        <f>IF($D132="","",'Total &amp; Budget Targets'!$G$63)</f>
        <v>0</v>
      </c>
      <c r="O132" s="173">
        <f>IF($D132="","",'Total &amp; Budget Targets'!$G$69)</f>
        <v>0</v>
      </c>
    </row>
    <row r="133" spans="1:15" ht="15.75" customHeight="1" x14ac:dyDescent="0.2">
      <c r="A133" s="165">
        <f t="shared" si="3"/>
        <v>129</v>
      </c>
      <c r="B133" s="172"/>
      <c r="C133" s="169">
        <f>IF(D132="","",IF(D132+1&gt;'Date Info'!$D$21,"",D132+1))</f>
        <v>49583</v>
      </c>
      <c r="D133" s="172">
        <f>IFERROR(IF(C133="","",IF(EOMONTH(C133,0)&gt;'Date Info'!$D$21,'Date Info'!$D$21,EOMONTH(C133,0))),"")</f>
        <v>49613</v>
      </c>
      <c r="E133" s="173">
        <f>IF($D133="","",IFERROR(SUMIFS(Expenses!$E:$E,Expenses!$B:$B,"&gt;="&amp;$C133,Expenses!$B:$B,"&lt;="&amp;$D133),"na"))</f>
        <v>0</v>
      </c>
      <c r="F133" s="173">
        <f>IF($D133="","",IFERROR(SUMIFS(Income!$D:$D,Income!$B:$B,"&gt;="&amp;$C133,Income!$B:$B,"&lt;="&amp;$D133),"na"))</f>
        <v>0</v>
      </c>
      <c r="G133" s="173">
        <f t="shared" si="0"/>
        <v>0</v>
      </c>
      <c r="H133" s="174" t="str">
        <f t="shared" si="1"/>
        <v>na</v>
      </c>
      <c r="I133" s="174" t="str">
        <f t="shared" si="2"/>
        <v>na</v>
      </c>
      <c r="J133" s="173">
        <f t="shared" ref="J133:L133" si="131">IF(E133="","",J$5)</f>
        <v>38</v>
      </c>
      <c r="K133" s="173">
        <f t="shared" si="131"/>
        <v>300</v>
      </c>
      <c r="L133" s="173">
        <f t="shared" si="131"/>
        <v>262</v>
      </c>
      <c r="M133" s="173">
        <f>IF($D133="","",'Total &amp; Budget Targets'!$G$44)</f>
        <v>0</v>
      </c>
      <c r="N133" s="173">
        <f>IF($D133="","",'Total &amp; Budget Targets'!$G$63)</f>
        <v>0</v>
      </c>
      <c r="O133" s="173">
        <f>IF($D133="","",'Total &amp; Budget Targets'!$G$69)</f>
        <v>0</v>
      </c>
    </row>
    <row r="134" spans="1:15" ht="15.75" customHeight="1" x14ac:dyDescent="0.2">
      <c r="A134" s="165">
        <f t="shared" si="3"/>
        <v>130</v>
      </c>
      <c r="B134" s="172"/>
      <c r="C134" s="169">
        <f>IF(D133="","",IF(D133+1&gt;'Date Info'!$D$21,"",D133+1))</f>
        <v>49614</v>
      </c>
      <c r="D134" s="172">
        <f>IFERROR(IF(C134="","",IF(EOMONTH(C134,0)&gt;'Date Info'!$D$21,'Date Info'!$D$21,EOMONTH(C134,0))),"")</f>
        <v>49643</v>
      </c>
      <c r="E134" s="173">
        <f>IF($D134="","",IFERROR(SUMIFS(Expenses!$E:$E,Expenses!$B:$B,"&gt;="&amp;$C134,Expenses!$B:$B,"&lt;="&amp;$D134),"na"))</f>
        <v>0</v>
      </c>
      <c r="F134" s="173">
        <f>IF($D134="","",IFERROR(SUMIFS(Income!$D:$D,Income!$B:$B,"&gt;="&amp;$C134,Income!$B:$B,"&lt;="&amp;$D134),"na"))</f>
        <v>0</v>
      </c>
      <c r="G134" s="173">
        <f t="shared" si="0"/>
        <v>0</v>
      </c>
      <c r="H134" s="174" t="str">
        <f t="shared" si="1"/>
        <v>na</v>
      </c>
      <c r="I134" s="174" t="str">
        <f t="shared" si="2"/>
        <v>na</v>
      </c>
      <c r="J134" s="173">
        <f t="shared" ref="J134:L134" si="132">IF(E134="","",J$5)</f>
        <v>38</v>
      </c>
      <c r="K134" s="173">
        <f t="shared" si="132"/>
        <v>300</v>
      </c>
      <c r="L134" s="173">
        <f t="shared" si="132"/>
        <v>262</v>
      </c>
      <c r="M134" s="173">
        <f>IF($D134="","",'Total &amp; Budget Targets'!$G$44)</f>
        <v>0</v>
      </c>
      <c r="N134" s="173">
        <f>IF($D134="","",'Total &amp; Budget Targets'!$G$63)</f>
        <v>0</v>
      </c>
      <c r="O134" s="173">
        <f>IF($D134="","",'Total &amp; Budget Targets'!$G$69)</f>
        <v>0</v>
      </c>
    </row>
    <row r="135" spans="1:15" ht="15.75" customHeight="1" x14ac:dyDescent="0.2">
      <c r="A135" s="165">
        <f t="shared" si="3"/>
        <v>131</v>
      </c>
      <c r="B135" s="172"/>
      <c r="C135" s="169">
        <f>IF(D134="","",IF(D134+1&gt;'Date Info'!$D$21,"",D134+1))</f>
        <v>49644</v>
      </c>
      <c r="D135" s="172">
        <f>IFERROR(IF(C135="","",IF(EOMONTH(C135,0)&gt;'Date Info'!$D$21,'Date Info'!$D$21,EOMONTH(C135,0))),"")</f>
        <v>49674</v>
      </c>
      <c r="E135" s="173">
        <f>IF($D135="","",IFERROR(SUMIFS(Expenses!$E:$E,Expenses!$B:$B,"&gt;="&amp;$C135,Expenses!$B:$B,"&lt;="&amp;$D135),"na"))</f>
        <v>0</v>
      </c>
      <c r="F135" s="173">
        <f>IF($D135="","",IFERROR(SUMIFS(Income!$D:$D,Income!$B:$B,"&gt;="&amp;$C135,Income!$B:$B,"&lt;="&amp;$D135),"na"))</f>
        <v>0</v>
      </c>
      <c r="G135" s="173">
        <f t="shared" si="0"/>
        <v>0</v>
      </c>
      <c r="H135" s="174" t="str">
        <f t="shared" si="1"/>
        <v>na</v>
      </c>
      <c r="I135" s="174" t="str">
        <f t="shared" si="2"/>
        <v>na</v>
      </c>
      <c r="J135" s="173">
        <f t="shared" ref="J135:L135" si="133">IF(E135="","",J$5)</f>
        <v>38</v>
      </c>
      <c r="K135" s="173">
        <f t="shared" si="133"/>
        <v>300</v>
      </c>
      <c r="L135" s="173">
        <f t="shared" si="133"/>
        <v>262</v>
      </c>
      <c r="M135" s="173">
        <f>IF($D135="","",'Total &amp; Budget Targets'!$G$44)</f>
        <v>0</v>
      </c>
      <c r="N135" s="173">
        <f>IF($D135="","",'Total &amp; Budget Targets'!$G$63)</f>
        <v>0</v>
      </c>
      <c r="O135" s="173">
        <f>IF($D135="","",'Total &amp; Budget Targets'!$G$69)</f>
        <v>0</v>
      </c>
    </row>
    <row r="136" spans="1:15" ht="15.75" customHeight="1" x14ac:dyDescent="0.2">
      <c r="A136" s="165">
        <f t="shared" si="3"/>
        <v>132</v>
      </c>
      <c r="B136" s="172"/>
      <c r="C136" s="169">
        <f>IF(D135="","",IF(D135+1&gt;'Date Info'!$D$21,"",D135+1))</f>
        <v>49675</v>
      </c>
      <c r="D136" s="172">
        <f>IFERROR(IF(C136="","",IF(EOMONTH(C136,0)&gt;'Date Info'!$D$21,'Date Info'!$D$21,EOMONTH(C136,0))),"")</f>
        <v>49705</v>
      </c>
      <c r="E136" s="173">
        <f>IF($D136="","",IFERROR(SUMIFS(Expenses!$E:$E,Expenses!$B:$B,"&gt;="&amp;$C136,Expenses!$B:$B,"&lt;="&amp;$D136),"na"))</f>
        <v>0</v>
      </c>
      <c r="F136" s="173">
        <f>IF($D136="","",IFERROR(SUMIFS(Income!$D:$D,Income!$B:$B,"&gt;="&amp;$C136,Income!$B:$B,"&lt;="&amp;$D136),"na"))</f>
        <v>0</v>
      </c>
      <c r="G136" s="173">
        <f t="shared" si="0"/>
        <v>0</v>
      </c>
      <c r="H136" s="174" t="str">
        <f t="shared" si="1"/>
        <v>na</v>
      </c>
      <c r="I136" s="174" t="str">
        <f t="shared" si="2"/>
        <v>na</v>
      </c>
      <c r="J136" s="173">
        <f t="shared" ref="J136:L136" si="134">IF(E136="","",J$5)</f>
        <v>38</v>
      </c>
      <c r="K136" s="173">
        <f t="shared" si="134"/>
        <v>300</v>
      </c>
      <c r="L136" s="173">
        <f t="shared" si="134"/>
        <v>262</v>
      </c>
      <c r="M136" s="173">
        <f>IF($D136="","",'Total &amp; Budget Targets'!$G$44)</f>
        <v>0</v>
      </c>
      <c r="N136" s="173">
        <f>IF($D136="","",'Total &amp; Budget Targets'!$G$63)</f>
        <v>0</v>
      </c>
      <c r="O136" s="173">
        <f>IF($D136="","",'Total &amp; Budget Targets'!$G$69)</f>
        <v>0</v>
      </c>
    </row>
    <row r="137" spans="1:15" ht="15.75" customHeight="1" x14ac:dyDescent="0.2">
      <c r="A137" s="165">
        <f t="shared" si="3"/>
        <v>133</v>
      </c>
      <c r="B137" s="172"/>
      <c r="C137" s="169">
        <f>IF(D136="","",IF(D136+1&gt;'Date Info'!$D$21,"",D136+1))</f>
        <v>49706</v>
      </c>
      <c r="D137" s="172">
        <f>IFERROR(IF(C137="","",IF(EOMONTH(C137,0)&gt;'Date Info'!$D$21,'Date Info'!$D$21,EOMONTH(C137,0))),"")</f>
        <v>49734</v>
      </c>
      <c r="E137" s="173">
        <f>IF($D137="","",IFERROR(SUMIFS(Expenses!$E:$E,Expenses!$B:$B,"&gt;="&amp;$C137,Expenses!$B:$B,"&lt;="&amp;$D137),"na"))</f>
        <v>0</v>
      </c>
      <c r="F137" s="173">
        <f>IF($D137="","",IFERROR(SUMIFS(Income!$D:$D,Income!$B:$B,"&gt;="&amp;$C137,Income!$B:$B,"&lt;="&amp;$D137),"na"))</f>
        <v>0</v>
      </c>
      <c r="G137" s="173">
        <f t="shared" si="0"/>
        <v>0</v>
      </c>
      <c r="H137" s="174" t="str">
        <f t="shared" si="1"/>
        <v>na</v>
      </c>
      <c r="I137" s="174" t="str">
        <f t="shared" si="2"/>
        <v>na</v>
      </c>
      <c r="J137" s="173">
        <f t="shared" ref="J137:L137" si="135">IF(E137="","",J$5)</f>
        <v>38</v>
      </c>
      <c r="K137" s="173">
        <f t="shared" si="135"/>
        <v>300</v>
      </c>
      <c r="L137" s="173">
        <f t="shared" si="135"/>
        <v>262</v>
      </c>
      <c r="M137" s="173">
        <f>IF($D137="","",'Total &amp; Budget Targets'!$G$44)</f>
        <v>0</v>
      </c>
      <c r="N137" s="173">
        <f>IF($D137="","",'Total &amp; Budget Targets'!$G$63)</f>
        <v>0</v>
      </c>
      <c r="O137" s="173">
        <f>IF($D137="","",'Total &amp; Budget Targets'!$G$69)</f>
        <v>0</v>
      </c>
    </row>
    <row r="138" spans="1:15" ht="15.75" customHeight="1" x14ac:dyDescent="0.2">
      <c r="A138" s="165">
        <f t="shared" si="3"/>
        <v>134</v>
      </c>
      <c r="B138" s="172"/>
      <c r="C138" s="169">
        <f>IF(D137="","",IF(D137+1&gt;'Date Info'!$D$21,"",D137+1))</f>
        <v>49735</v>
      </c>
      <c r="D138" s="172">
        <f>IFERROR(IF(C138="","",IF(EOMONTH(C138,0)&gt;'Date Info'!$D$21,'Date Info'!$D$21,EOMONTH(C138,0))),"")</f>
        <v>49765</v>
      </c>
      <c r="E138" s="173">
        <f>IF($D138="","",IFERROR(SUMIFS(Expenses!$E:$E,Expenses!$B:$B,"&gt;="&amp;$C138,Expenses!$B:$B,"&lt;="&amp;$D138),"na"))</f>
        <v>0</v>
      </c>
      <c r="F138" s="173">
        <f>IF($D138="","",IFERROR(SUMIFS(Income!$D:$D,Income!$B:$B,"&gt;="&amp;$C138,Income!$B:$B,"&lt;="&amp;$D138),"na"))</f>
        <v>0</v>
      </c>
      <c r="G138" s="173">
        <f t="shared" si="0"/>
        <v>0</v>
      </c>
      <c r="H138" s="174" t="str">
        <f t="shared" si="1"/>
        <v>na</v>
      </c>
      <c r="I138" s="174" t="str">
        <f t="shared" si="2"/>
        <v>na</v>
      </c>
      <c r="J138" s="173">
        <f t="shared" ref="J138:L138" si="136">IF(E138="","",J$5)</f>
        <v>38</v>
      </c>
      <c r="K138" s="173">
        <f t="shared" si="136"/>
        <v>300</v>
      </c>
      <c r="L138" s="173">
        <f t="shared" si="136"/>
        <v>262</v>
      </c>
      <c r="M138" s="173">
        <f>IF($D138="","",'Total &amp; Budget Targets'!$G$44)</f>
        <v>0</v>
      </c>
      <c r="N138" s="173">
        <f>IF($D138="","",'Total &amp; Budget Targets'!$G$63)</f>
        <v>0</v>
      </c>
      <c r="O138" s="173">
        <f>IF($D138="","",'Total &amp; Budget Targets'!$G$69)</f>
        <v>0</v>
      </c>
    </row>
    <row r="139" spans="1:15" ht="15.75" customHeight="1" x14ac:dyDescent="0.2">
      <c r="A139" s="165">
        <f t="shared" si="3"/>
        <v>135</v>
      </c>
      <c r="B139" s="172"/>
      <c r="C139" s="169">
        <f>IF(D138="","",IF(D138+1&gt;'Date Info'!$D$21,"",D138+1))</f>
        <v>49766</v>
      </c>
      <c r="D139" s="172">
        <f>IFERROR(IF(C139="","",IF(EOMONTH(C139,0)&gt;'Date Info'!$D$21,'Date Info'!$D$21,EOMONTH(C139,0))),"")</f>
        <v>49795</v>
      </c>
      <c r="E139" s="173">
        <f>IF($D139="","",IFERROR(SUMIFS(Expenses!$E:$E,Expenses!$B:$B,"&gt;="&amp;$C139,Expenses!$B:$B,"&lt;="&amp;$D139),"na"))</f>
        <v>0</v>
      </c>
      <c r="F139" s="173">
        <f>IF($D139="","",IFERROR(SUMIFS(Income!$D:$D,Income!$B:$B,"&gt;="&amp;$C139,Income!$B:$B,"&lt;="&amp;$D139),"na"))</f>
        <v>0</v>
      </c>
      <c r="G139" s="173">
        <f t="shared" si="0"/>
        <v>0</v>
      </c>
      <c r="H139" s="174" t="str">
        <f t="shared" si="1"/>
        <v>na</v>
      </c>
      <c r="I139" s="174" t="str">
        <f t="shared" si="2"/>
        <v>na</v>
      </c>
      <c r="J139" s="173">
        <f t="shared" ref="J139:L139" si="137">IF(E139="","",J$5)</f>
        <v>38</v>
      </c>
      <c r="K139" s="173">
        <f t="shared" si="137"/>
        <v>300</v>
      </c>
      <c r="L139" s="173">
        <f t="shared" si="137"/>
        <v>262</v>
      </c>
      <c r="M139" s="173">
        <f>IF($D139="","",'Total &amp; Budget Targets'!$G$44)</f>
        <v>0</v>
      </c>
      <c r="N139" s="173">
        <f>IF($D139="","",'Total &amp; Budget Targets'!$G$63)</f>
        <v>0</v>
      </c>
      <c r="O139" s="173">
        <f>IF($D139="","",'Total &amp; Budget Targets'!$G$69)</f>
        <v>0</v>
      </c>
    </row>
    <row r="140" spans="1:15" ht="15.75" customHeight="1" x14ac:dyDescent="0.2">
      <c r="A140" s="165">
        <f t="shared" si="3"/>
        <v>136</v>
      </c>
      <c r="B140" s="172"/>
      <c r="C140" s="169">
        <f>IF(D139="","",IF(D139+1&gt;'Date Info'!$D$21,"",D139+1))</f>
        <v>49796</v>
      </c>
      <c r="D140" s="172">
        <f>IFERROR(IF(C140="","",IF(EOMONTH(C140,0)&gt;'Date Info'!$D$21,'Date Info'!$D$21,EOMONTH(C140,0))),"")</f>
        <v>49826</v>
      </c>
      <c r="E140" s="173">
        <f>IF($D140="","",IFERROR(SUMIFS(Expenses!$E:$E,Expenses!$B:$B,"&gt;="&amp;$C140,Expenses!$B:$B,"&lt;="&amp;$D140),"na"))</f>
        <v>0</v>
      </c>
      <c r="F140" s="173">
        <f>IF($D140="","",IFERROR(SUMIFS(Income!$D:$D,Income!$B:$B,"&gt;="&amp;$C140,Income!$B:$B,"&lt;="&amp;$D140),"na"))</f>
        <v>0</v>
      </c>
      <c r="G140" s="173">
        <f t="shared" si="0"/>
        <v>0</v>
      </c>
      <c r="H140" s="174" t="str">
        <f t="shared" si="1"/>
        <v>na</v>
      </c>
      <c r="I140" s="174" t="str">
        <f t="shared" si="2"/>
        <v>na</v>
      </c>
      <c r="J140" s="173">
        <f t="shared" ref="J140:L140" si="138">IF(E140="","",J$5)</f>
        <v>38</v>
      </c>
      <c r="K140" s="173">
        <f t="shared" si="138"/>
        <v>300</v>
      </c>
      <c r="L140" s="173">
        <f t="shared" si="138"/>
        <v>262</v>
      </c>
      <c r="M140" s="173">
        <f>IF($D140="","",'Total &amp; Budget Targets'!$G$44)</f>
        <v>0</v>
      </c>
      <c r="N140" s="173">
        <f>IF($D140="","",'Total &amp; Budget Targets'!$G$63)</f>
        <v>0</v>
      </c>
      <c r="O140" s="173">
        <f>IF($D140="","",'Total &amp; Budget Targets'!$G$69)</f>
        <v>0</v>
      </c>
    </row>
    <row r="141" spans="1:15" ht="15.75" customHeight="1" x14ac:dyDescent="0.2">
      <c r="A141" s="165">
        <f t="shared" si="3"/>
        <v>137</v>
      </c>
      <c r="B141" s="172"/>
      <c r="C141" s="169">
        <f>IF(D140="","",IF(D140+1&gt;'Date Info'!$D$21,"",D140+1))</f>
        <v>49827</v>
      </c>
      <c r="D141" s="172">
        <f>IFERROR(IF(C141="","",IF(EOMONTH(C141,0)&gt;'Date Info'!$D$21,'Date Info'!$D$21,EOMONTH(C141,0))),"")</f>
        <v>49856</v>
      </c>
      <c r="E141" s="173">
        <f>IF($D141="","",IFERROR(SUMIFS(Expenses!$E:$E,Expenses!$B:$B,"&gt;="&amp;$C141,Expenses!$B:$B,"&lt;="&amp;$D141),"na"))</f>
        <v>0</v>
      </c>
      <c r="F141" s="173">
        <f>IF($D141="","",IFERROR(SUMIFS(Income!$D:$D,Income!$B:$B,"&gt;="&amp;$C141,Income!$B:$B,"&lt;="&amp;$D141),"na"))</f>
        <v>0</v>
      </c>
      <c r="G141" s="173">
        <f t="shared" si="0"/>
        <v>0</v>
      </c>
      <c r="H141" s="174" t="str">
        <f t="shared" si="1"/>
        <v>na</v>
      </c>
      <c r="I141" s="174" t="str">
        <f t="shared" si="2"/>
        <v>na</v>
      </c>
      <c r="J141" s="173">
        <f t="shared" ref="J141:L141" si="139">IF(E141="","",J$5)</f>
        <v>38</v>
      </c>
      <c r="K141" s="173">
        <f t="shared" si="139"/>
        <v>300</v>
      </c>
      <c r="L141" s="173">
        <f t="shared" si="139"/>
        <v>262</v>
      </c>
      <c r="M141" s="173">
        <f>IF($D141="","",'Total &amp; Budget Targets'!$G$44)</f>
        <v>0</v>
      </c>
      <c r="N141" s="173">
        <f>IF($D141="","",'Total &amp; Budget Targets'!$G$63)</f>
        <v>0</v>
      </c>
      <c r="O141" s="173">
        <f>IF($D141="","",'Total &amp; Budget Targets'!$G$69)</f>
        <v>0</v>
      </c>
    </row>
    <row r="142" spans="1:15" ht="15.75" customHeight="1" x14ac:dyDescent="0.2">
      <c r="A142" s="165">
        <f t="shared" si="3"/>
        <v>138</v>
      </c>
      <c r="B142" s="172"/>
      <c r="C142" s="169">
        <f>IF(D141="","",IF(D141+1&gt;'Date Info'!$D$21,"",D141+1))</f>
        <v>49857</v>
      </c>
      <c r="D142" s="172">
        <f>IFERROR(IF(C142="","",IF(EOMONTH(C142,0)&gt;'Date Info'!$D$21,'Date Info'!$D$21,EOMONTH(C142,0))),"")</f>
        <v>49887</v>
      </c>
      <c r="E142" s="173">
        <f>IF($D142="","",IFERROR(SUMIFS(Expenses!$E:$E,Expenses!$B:$B,"&gt;="&amp;$C142,Expenses!$B:$B,"&lt;="&amp;$D142),"na"))</f>
        <v>0</v>
      </c>
      <c r="F142" s="173">
        <f>IF($D142="","",IFERROR(SUMIFS(Income!$D:$D,Income!$B:$B,"&gt;="&amp;$C142,Income!$B:$B,"&lt;="&amp;$D142),"na"))</f>
        <v>0</v>
      </c>
      <c r="G142" s="173">
        <f t="shared" si="0"/>
        <v>0</v>
      </c>
      <c r="H142" s="174" t="str">
        <f t="shared" si="1"/>
        <v>na</v>
      </c>
      <c r="I142" s="174" t="str">
        <f t="shared" si="2"/>
        <v>na</v>
      </c>
      <c r="J142" s="173">
        <f t="shared" ref="J142:L142" si="140">IF(E142="","",J$5)</f>
        <v>38</v>
      </c>
      <c r="K142" s="173">
        <f t="shared" si="140"/>
        <v>300</v>
      </c>
      <c r="L142" s="173">
        <f t="shared" si="140"/>
        <v>262</v>
      </c>
      <c r="M142" s="173">
        <f>IF($D142="","",'Total &amp; Budget Targets'!$G$44)</f>
        <v>0</v>
      </c>
      <c r="N142" s="173">
        <f>IF($D142="","",'Total &amp; Budget Targets'!$G$63)</f>
        <v>0</v>
      </c>
      <c r="O142" s="173">
        <f>IF($D142="","",'Total &amp; Budget Targets'!$G$69)</f>
        <v>0</v>
      </c>
    </row>
    <row r="143" spans="1:15" ht="15.75" customHeight="1" x14ac:dyDescent="0.2">
      <c r="A143" s="165">
        <f t="shared" si="3"/>
        <v>139</v>
      </c>
      <c r="B143" s="172"/>
      <c r="C143" s="169">
        <f>IF(D142="","",IF(D142+1&gt;'Date Info'!$D$21,"",D142+1))</f>
        <v>49888</v>
      </c>
      <c r="D143" s="172">
        <f>IFERROR(IF(C143="","",IF(EOMONTH(C143,0)&gt;'Date Info'!$D$21,'Date Info'!$D$21,EOMONTH(C143,0))),"")</f>
        <v>49918</v>
      </c>
      <c r="E143" s="173">
        <f>IF($D143="","",IFERROR(SUMIFS(Expenses!$E:$E,Expenses!$B:$B,"&gt;="&amp;$C143,Expenses!$B:$B,"&lt;="&amp;$D143),"na"))</f>
        <v>0</v>
      </c>
      <c r="F143" s="173">
        <f>IF($D143="","",IFERROR(SUMIFS(Income!$D:$D,Income!$B:$B,"&gt;="&amp;$C143,Income!$B:$B,"&lt;="&amp;$D143),"na"))</f>
        <v>0</v>
      </c>
      <c r="G143" s="173">
        <f t="shared" si="0"/>
        <v>0</v>
      </c>
      <c r="H143" s="174" t="str">
        <f t="shared" si="1"/>
        <v>na</v>
      </c>
      <c r="I143" s="174" t="str">
        <f t="shared" si="2"/>
        <v>na</v>
      </c>
      <c r="J143" s="173">
        <f t="shared" ref="J143:L143" si="141">IF(E143="","",J$5)</f>
        <v>38</v>
      </c>
      <c r="K143" s="173">
        <f t="shared" si="141"/>
        <v>300</v>
      </c>
      <c r="L143" s="173">
        <f t="shared" si="141"/>
        <v>262</v>
      </c>
      <c r="M143" s="173">
        <f>IF($D143="","",'Total &amp; Budget Targets'!$G$44)</f>
        <v>0</v>
      </c>
      <c r="N143" s="173">
        <f>IF($D143="","",'Total &amp; Budget Targets'!$G$63)</f>
        <v>0</v>
      </c>
      <c r="O143" s="173">
        <f>IF($D143="","",'Total &amp; Budget Targets'!$G$69)</f>
        <v>0</v>
      </c>
    </row>
    <row r="144" spans="1:15" ht="15.75" customHeight="1" x14ac:dyDescent="0.2">
      <c r="A144" s="165">
        <f t="shared" si="3"/>
        <v>140</v>
      </c>
      <c r="B144" s="172"/>
      <c r="C144" s="169">
        <f>IF(D143="","",IF(D143+1&gt;'Date Info'!$D$21,"",D143+1))</f>
        <v>49919</v>
      </c>
      <c r="D144" s="172">
        <f>IFERROR(IF(C144="","",IF(EOMONTH(C144,0)&gt;'Date Info'!$D$21,'Date Info'!$D$21,EOMONTH(C144,0))),"")</f>
        <v>49948</v>
      </c>
      <c r="E144" s="173">
        <f>IF($D144="","",IFERROR(SUMIFS(Expenses!$E:$E,Expenses!$B:$B,"&gt;="&amp;$C144,Expenses!$B:$B,"&lt;="&amp;$D144),"na"))</f>
        <v>0</v>
      </c>
      <c r="F144" s="173">
        <f>IF($D144="","",IFERROR(SUMIFS(Income!$D:$D,Income!$B:$B,"&gt;="&amp;$C144,Income!$B:$B,"&lt;="&amp;$D144),"na"))</f>
        <v>0</v>
      </c>
      <c r="G144" s="173">
        <f t="shared" si="0"/>
        <v>0</v>
      </c>
      <c r="H144" s="174" t="str">
        <f t="shared" si="1"/>
        <v>na</v>
      </c>
      <c r="I144" s="174" t="str">
        <f t="shared" si="2"/>
        <v>na</v>
      </c>
      <c r="J144" s="173">
        <f t="shared" ref="J144:L144" si="142">IF(E144="","",J$5)</f>
        <v>38</v>
      </c>
      <c r="K144" s="173">
        <f t="shared" si="142"/>
        <v>300</v>
      </c>
      <c r="L144" s="173">
        <f t="shared" si="142"/>
        <v>262</v>
      </c>
      <c r="M144" s="173">
        <f>IF($D144="","",'Total &amp; Budget Targets'!$G$44)</f>
        <v>0</v>
      </c>
      <c r="N144" s="173">
        <f>IF($D144="","",'Total &amp; Budget Targets'!$G$63)</f>
        <v>0</v>
      </c>
      <c r="O144" s="173">
        <f>IF($D144="","",'Total &amp; Budget Targets'!$G$69)</f>
        <v>0</v>
      </c>
    </row>
    <row r="145" spans="1:15" ht="15.75" customHeight="1" x14ac:dyDescent="0.2">
      <c r="A145" s="165">
        <f t="shared" si="3"/>
        <v>141</v>
      </c>
      <c r="B145" s="172"/>
      <c r="C145" s="169">
        <f>IF(D144="","",IF(D144+1&gt;'Date Info'!$D$21,"",D144+1))</f>
        <v>49949</v>
      </c>
      <c r="D145" s="172">
        <f>IFERROR(IF(C145="","",IF(EOMONTH(C145,0)&gt;'Date Info'!$D$21,'Date Info'!$D$21,EOMONTH(C145,0))),"")</f>
        <v>49979</v>
      </c>
      <c r="E145" s="173">
        <f>IF($D145="","",IFERROR(SUMIFS(Expenses!$E:$E,Expenses!$B:$B,"&gt;="&amp;$C145,Expenses!$B:$B,"&lt;="&amp;$D145),"na"))</f>
        <v>0</v>
      </c>
      <c r="F145" s="173">
        <f>IF($D145="","",IFERROR(SUMIFS(Income!$D:$D,Income!$B:$B,"&gt;="&amp;$C145,Income!$B:$B,"&lt;="&amp;$D145),"na"))</f>
        <v>0</v>
      </c>
      <c r="G145" s="173">
        <f t="shared" si="0"/>
        <v>0</v>
      </c>
      <c r="H145" s="174" t="str">
        <f t="shared" si="1"/>
        <v>na</v>
      </c>
      <c r="I145" s="174" t="str">
        <f t="shared" si="2"/>
        <v>na</v>
      </c>
      <c r="J145" s="173">
        <f t="shared" ref="J145:L145" si="143">IF(E145="","",J$5)</f>
        <v>38</v>
      </c>
      <c r="K145" s="173">
        <f t="shared" si="143"/>
        <v>300</v>
      </c>
      <c r="L145" s="173">
        <f t="shared" si="143"/>
        <v>262</v>
      </c>
      <c r="M145" s="173">
        <f>IF($D145="","",'Total &amp; Budget Targets'!$G$44)</f>
        <v>0</v>
      </c>
      <c r="N145" s="173">
        <f>IF($D145="","",'Total &amp; Budget Targets'!$G$63)</f>
        <v>0</v>
      </c>
      <c r="O145" s="173">
        <f>IF($D145="","",'Total &amp; Budget Targets'!$G$69)</f>
        <v>0</v>
      </c>
    </row>
    <row r="146" spans="1:15" ht="15.75" customHeight="1" x14ac:dyDescent="0.2">
      <c r="A146" s="165">
        <f t="shared" si="3"/>
        <v>142</v>
      </c>
      <c r="B146" s="172"/>
      <c r="C146" s="169">
        <f>IF(D145="","",IF(D145+1&gt;'Date Info'!$D$21,"",D145+1))</f>
        <v>49980</v>
      </c>
      <c r="D146" s="172">
        <f>IFERROR(IF(C146="","",IF(EOMONTH(C146,0)&gt;'Date Info'!$D$21,'Date Info'!$D$21,EOMONTH(C146,0))),"")</f>
        <v>50009</v>
      </c>
      <c r="E146" s="173">
        <f>IF($D146="","",IFERROR(SUMIFS(Expenses!$E:$E,Expenses!$B:$B,"&gt;="&amp;$C146,Expenses!$B:$B,"&lt;="&amp;$D146),"na"))</f>
        <v>0</v>
      </c>
      <c r="F146" s="173">
        <f>IF($D146="","",IFERROR(SUMIFS(Income!$D:$D,Income!$B:$B,"&gt;="&amp;$C146,Income!$B:$B,"&lt;="&amp;$D146),"na"))</f>
        <v>0</v>
      </c>
      <c r="G146" s="173">
        <f t="shared" si="0"/>
        <v>0</v>
      </c>
      <c r="H146" s="174" t="str">
        <f t="shared" si="1"/>
        <v>na</v>
      </c>
      <c r="I146" s="174" t="str">
        <f t="shared" si="2"/>
        <v>na</v>
      </c>
      <c r="J146" s="173">
        <f t="shared" ref="J146:L146" si="144">IF(E146="","",J$5)</f>
        <v>38</v>
      </c>
      <c r="K146" s="173">
        <f t="shared" si="144"/>
        <v>300</v>
      </c>
      <c r="L146" s="173">
        <f t="shared" si="144"/>
        <v>262</v>
      </c>
      <c r="M146" s="173">
        <f>IF($D146="","",'Total &amp; Budget Targets'!$G$44)</f>
        <v>0</v>
      </c>
      <c r="N146" s="173">
        <f>IF($D146="","",'Total &amp; Budget Targets'!$G$63)</f>
        <v>0</v>
      </c>
      <c r="O146" s="173">
        <f>IF($D146="","",'Total &amp; Budget Targets'!$G$69)</f>
        <v>0</v>
      </c>
    </row>
    <row r="147" spans="1:15" ht="15.75" customHeight="1" x14ac:dyDescent="0.2">
      <c r="A147" s="165">
        <f t="shared" si="3"/>
        <v>143</v>
      </c>
      <c r="B147" s="172"/>
      <c r="C147" s="169">
        <f>IF(D146="","",IF(D146+1&gt;'Date Info'!$D$21,"",D146+1))</f>
        <v>50010</v>
      </c>
      <c r="D147" s="172">
        <f>IFERROR(IF(C147="","",IF(EOMONTH(C147,0)&gt;'Date Info'!$D$21,'Date Info'!$D$21,EOMONTH(C147,0))),"")</f>
        <v>50040</v>
      </c>
      <c r="E147" s="173">
        <f>IF($D147="","",IFERROR(SUMIFS(Expenses!$E:$E,Expenses!$B:$B,"&gt;="&amp;$C147,Expenses!$B:$B,"&lt;="&amp;$D147),"na"))</f>
        <v>0</v>
      </c>
      <c r="F147" s="173">
        <f>IF($D147="","",IFERROR(SUMIFS(Income!$D:$D,Income!$B:$B,"&gt;="&amp;$C147,Income!$B:$B,"&lt;="&amp;$D147),"na"))</f>
        <v>0</v>
      </c>
      <c r="G147" s="173">
        <f t="shared" si="0"/>
        <v>0</v>
      </c>
      <c r="H147" s="174" t="str">
        <f t="shared" si="1"/>
        <v>na</v>
      </c>
      <c r="I147" s="174" t="str">
        <f t="shared" si="2"/>
        <v>na</v>
      </c>
      <c r="J147" s="173">
        <f t="shared" ref="J147:L147" si="145">IF(E147="","",J$5)</f>
        <v>38</v>
      </c>
      <c r="K147" s="173">
        <f t="shared" si="145"/>
        <v>300</v>
      </c>
      <c r="L147" s="173">
        <f t="shared" si="145"/>
        <v>262</v>
      </c>
      <c r="M147" s="173">
        <f>IF($D147="","",'Total &amp; Budget Targets'!$G$44)</f>
        <v>0</v>
      </c>
      <c r="N147" s="173">
        <f>IF($D147="","",'Total &amp; Budget Targets'!$G$63)</f>
        <v>0</v>
      </c>
      <c r="O147" s="173">
        <f>IF($D147="","",'Total &amp; Budget Targets'!$G$69)</f>
        <v>0</v>
      </c>
    </row>
    <row r="148" spans="1:15" ht="15.75" customHeight="1" x14ac:dyDescent="0.2">
      <c r="A148" s="165">
        <f t="shared" si="3"/>
        <v>144</v>
      </c>
      <c r="B148" s="172"/>
      <c r="C148" s="169">
        <f>IF(D147="","",IF(D147+1&gt;'Date Info'!$D$21,"",D147+1))</f>
        <v>50041</v>
      </c>
      <c r="D148" s="172">
        <f>IFERROR(IF(C148="","",IF(EOMONTH(C148,0)&gt;'Date Info'!$D$21,'Date Info'!$D$21,EOMONTH(C148,0))),"")</f>
        <v>50071</v>
      </c>
      <c r="E148" s="173">
        <f>IF($D148="","",IFERROR(SUMIFS(Expenses!$E:$E,Expenses!$B:$B,"&gt;="&amp;$C148,Expenses!$B:$B,"&lt;="&amp;$D148),"na"))</f>
        <v>0</v>
      </c>
      <c r="F148" s="173">
        <f>IF($D148="","",IFERROR(SUMIFS(Income!$D:$D,Income!$B:$B,"&gt;="&amp;$C148,Income!$B:$B,"&lt;="&amp;$D148),"na"))</f>
        <v>0</v>
      </c>
      <c r="G148" s="173">
        <f t="shared" si="0"/>
        <v>0</v>
      </c>
      <c r="H148" s="174" t="str">
        <f t="shared" si="1"/>
        <v>na</v>
      </c>
      <c r="I148" s="174" t="str">
        <f t="shared" si="2"/>
        <v>na</v>
      </c>
      <c r="J148" s="173">
        <f t="shared" ref="J148:L148" si="146">IF(E148="","",J$5)</f>
        <v>38</v>
      </c>
      <c r="K148" s="173">
        <f t="shared" si="146"/>
        <v>300</v>
      </c>
      <c r="L148" s="173">
        <f t="shared" si="146"/>
        <v>262</v>
      </c>
      <c r="M148" s="173">
        <f>IF($D148="","",'Total &amp; Budget Targets'!$G$44)</f>
        <v>0</v>
      </c>
      <c r="N148" s="173">
        <f>IF($D148="","",'Total &amp; Budget Targets'!$G$63)</f>
        <v>0</v>
      </c>
      <c r="O148" s="173">
        <f>IF($D148="","",'Total &amp; Budget Targets'!$G$69)</f>
        <v>0</v>
      </c>
    </row>
    <row r="149" spans="1:15" ht="15.75" customHeight="1" x14ac:dyDescent="0.2">
      <c r="A149" s="165">
        <f t="shared" si="3"/>
        <v>145</v>
      </c>
      <c r="B149" s="172"/>
      <c r="C149" s="169">
        <f>IF(D148="","",IF(D148+1&gt;'Date Info'!$D$21,"",D148+1))</f>
        <v>50072</v>
      </c>
      <c r="D149" s="172">
        <f>IFERROR(IF(C149="","",IF(EOMONTH(C149,0)&gt;'Date Info'!$D$21,'Date Info'!$D$21,EOMONTH(C149,0))),"")</f>
        <v>50099</v>
      </c>
      <c r="E149" s="173">
        <f>IF($D149="","",IFERROR(SUMIFS(Expenses!$E:$E,Expenses!$B:$B,"&gt;="&amp;$C149,Expenses!$B:$B,"&lt;="&amp;$D149),"na"))</f>
        <v>0</v>
      </c>
      <c r="F149" s="173">
        <f>IF($D149="","",IFERROR(SUMIFS(Income!$D:$D,Income!$B:$B,"&gt;="&amp;$C149,Income!$B:$B,"&lt;="&amp;$D149),"na"))</f>
        <v>0</v>
      </c>
      <c r="G149" s="173">
        <f t="shared" si="0"/>
        <v>0</v>
      </c>
      <c r="H149" s="174" t="str">
        <f t="shared" si="1"/>
        <v>na</v>
      </c>
      <c r="I149" s="174" t="str">
        <f t="shared" si="2"/>
        <v>na</v>
      </c>
      <c r="J149" s="173">
        <f t="shared" ref="J149:L149" si="147">IF(E149="","",J$5)</f>
        <v>38</v>
      </c>
      <c r="K149" s="173">
        <f t="shared" si="147"/>
        <v>300</v>
      </c>
      <c r="L149" s="173">
        <f t="shared" si="147"/>
        <v>262</v>
      </c>
      <c r="M149" s="173">
        <f>IF($D149="","",'Total &amp; Budget Targets'!$G$44)</f>
        <v>0</v>
      </c>
      <c r="N149" s="173">
        <f>IF($D149="","",'Total &amp; Budget Targets'!$G$63)</f>
        <v>0</v>
      </c>
      <c r="O149" s="173">
        <f>IF($D149="","",'Total &amp; Budget Targets'!$G$69)</f>
        <v>0</v>
      </c>
    </row>
    <row r="150" spans="1:15" ht="15.75" customHeight="1" x14ac:dyDescent="0.2">
      <c r="A150" s="165">
        <f t="shared" si="3"/>
        <v>146</v>
      </c>
      <c r="B150" s="172"/>
      <c r="C150" s="169">
        <f>IF(D149="","",IF(D149+1&gt;'Date Info'!$D$21,"",D149+1))</f>
        <v>50100</v>
      </c>
      <c r="D150" s="172">
        <f>IFERROR(IF(C150="","",IF(EOMONTH(C150,0)&gt;'Date Info'!$D$21,'Date Info'!$D$21,EOMONTH(C150,0))),"")</f>
        <v>50130</v>
      </c>
      <c r="E150" s="173">
        <f>IF($D150="","",IFERROR(SUMIFS(Expenses!$E:$E,Expenses!$B:$B,"&gt;="&amp;$C150,Expenses!$B:$B,"&lt;="&amp;$D150),"na"))</f>
        <v>0</v>
      </c>
      <c r="F150" s="173">
        <f>IF($D150="","",IFERROR(SUMIFS(Income!$D:$D,Income!$B:$B,"&gt;="&amp;$C150,Income!$B:$B,"&lt;="&amp;$D150),"na"))</f>
        <v>0</v>
      </c>
      <c r="G150" s="173">
        <f t="shared" si="0"/>
        <v>0</v>
      </c>
      <c r="H150" s="174" t="str">
        <f t="shared" si="1"/>
        <v>na</v>
      </c>
      <c r="I150" s="174" t="str">
        <f t="shared" si="2"/>
        <v>na</v>
      </c>
      <c r="J150" s="173">
        <f t="shared" ref="J150:L150" si="148">IF(E150="","",J$5)</f>
        <v>38</v>
      </c>
      <c r="K150" s="173">
        <f t="shared" si="148"/>
        <v>300</v>
      </c>
      <c r="L150" s="173">
        <f t="shared" si="148"/>
        <v>262</v>
      </c>
      <c r="M150" s="173">
        <f>IF($D150="","",'Total &amp; Budget Targets'!$G$44)</f>
        <v>0</v>
      </c>
      <c r="N150" s="173">
        <f>IF($D150="","",'Total &amp; Budget Targets'!$G$63)</f>
        <v>0</v>
      </c>
      <c r="O150" s="173">
        <f>IF($D150="","",'Total &amp; Budget Targets'!$G$69)</f>
        <v>0</v>
      </c>
    </row>
    <row r="151" spans="1:15" ht="15.75" customHeight="1" x14ac:dyDescent="0.2">
      <c r="A151" s="165">
        <f t="shared" si="3"/>
        <v>147</v>
      </c>
      <c r="B151" s="172"/>
      <c r="C151" s="169">
        <f>IF(D150="","",IF(D150+1&gt;'Date Info'!$D$21,"",D150+1))</f>
        <v>50131</v>
      </c>
      <c r="D151" s="172">
        <f>IFERROR(IF(C151="","",IF(EOMONTH(C151,0)&gt;'Date Info'!$D$21,'Date Info'!$D$21,EOMONTH(C151,0))),"")</f>
        <v>50160</v>
      </c>
      <c r="E151" s="173">
        <f>IF($D151="","",IFERROR(SUMIFS(Expenses!$E:$E,Expenses!$B:$B,"&gt;="&amp;$C151,Expenses!$B:$B,"&lt;="&amp;$D151),"na"))</f>
        <v>0</v>
      </c>
      <c r="F151" s="173">
        <f>IF($D151="","",IFERROR(SUMIFS(Income!$D:$D,Income!$B:$B,"&gt;="&amp;$C151,Income!$B:$B,"&lt;="&amp;$D151),"na"))</f>
        <v>0</v>
      </c>
      <c r="G151" s="173">
        <f t="shared" si="0"/>
        <v>0</v>
      </c>
      <c r="H151" s="174" t="str">
        <f t="shared" si="1"/>
        <v>na</v>
      </c>
      <c r="I151" s="174" t="str">
        <f t="shared" si="2"/>
        <v>na</v>
      </c>
      <c r="J151" s="173">
        <f t="shared" ref="J151:L151" si="149">IF(E151="","",J$5)</f>
        <v>38</v>
      </c>
      <c r="K151" s="173">
        <f t="shared" si="149"/>
        <v>300</v>
      </c>
      <c r="L151" s="173">
        <f t="shared" si="149"/>
        <v>262</v>
      </c>
      <c r="M151" s="173">
        <f>IF($D151="","",'Total &amp; Budget Targets'!$G$44)</f>
        <v>0</v>
      </c>
      <c r="N151" s="173">
        <f>IF($D151="","",'Total &amp; Budget Targets'!$G$63)</f>
        <v>0</v>
      </c>
      <c r="O151" s="173">
        <f>IF($D151="","",'Total &amp; Budget Targets'!$G$69)</f>
        <v>0</v>
      </c>
    </row>
    <row r="152" spans="1:15" ht="15.75" customHeight="1" x14ac:dyDescent="0.2">
      <c r="A152" s="165">
        <f t="shared" si="3"/>
        <v>148</v>
      </c>
      <c r="B152" s="172"/>
      <c r="C152" s="169">
        <f>IF(D151="","",IF(D151+1&gt;'Date Info'!$D$21,"",D151+1))</f>
        <v>50161</v>
      </c>
      <c r="D152" s="172">
        <f>IFERROR(IF(C152="","",IF(EOMONTH(C152,0)&gt;'Date Info'!$D$21,'Date Info'!$D$21,EOMONTH(C152,0))),"")</f>
        <v>50191</v>
      </c>
      <c r="E152" s="173">
        <f>IF($D152="","",IFERROR(SUMIFS(Expenses!$E:$E,Expenses!$B:$B,"&gt;="&amp;$C152,Expenses!$B:$B,"&lt;="&amp;$D152),"na"))</f>
        <v>0</v>
      </c>
      <c r="F152" s="173">
        <f>IF($D152="","",IFERROR(SUMIFS(Income!$D:$D,Income!$B:$B,"&gt;="&amp;$C152,Income!$B:$B,"&lt;="&amp;$D152),"na"))</f>
        <v>0</v>
      </c>
      <c r="G152" s="173">
        <f t="shared" si="0"/>
        <v>0</v>
      </c>
      <c r="H152" s="174" t="str">
        <f t="shared" si="1"/>
        <v>na</v>
      </c>
      <c r="I152" s="174" t="str">
        <f t="shared" si="2"/>
        <v>na</v>
      </c>
      <c r="J152" s="173">
        <f t="shared" ref="J152:L152" si="150">IF(E152="","",J$5)</f>
        <v>38</v>
      </c>
      <c r="K152" s="173">
        <f t="shared" si="150"/>
        <v>300</v>
      </c>
      <c r="L152" s="173">
        <f t="shared" si="150"/>
        <v>262</v>
      </c>
      <c r="M152" s="173">
        <f>IF($D152="","",'Total &amp; Budget Targets'!$G$44)</f>
        <v>0</v>
      </c>
      <c r="N152" s="173">
        <f>IF($D152="","",'Total &amp; Budget Targets'!$G$63)</f>
        <v>0</v>
      </c>
      <c r="O152" s="173">
        <f>IF($D152="","",'Total &amp; Budget Targets'!$G$69)</f>
        <v>0</v>
      </c>
    </row>
    <row r="153" spans="1:15" ht="15.75" customHeight="1" x14ac:dyDescent="0.2">
      <c r="A153" s="165">
        <f t="shared" si="3"/>
        <v>149</v>
      </c>
      <c r="B153" s="172"/>
      <c r="C153" s="169">
        <f>IF(D152="","",IF(D152+1&gt;'Date Info'!$D$21,"",D152+1))</f>
        <v>50192</v>
      </c>
      <c r="D153" s="172">
        <f>IFERROR(IF(C153="","",IF(EOMONTH(C153,0)&gt;'Date Info'!$D$21,'Date Info'!$D$21,EOMONTH(C153,0))),"")</f>
        <v>50221</v>
      </c>
      <c r="E153" s="173">
        <f>IF($D153="","",IFERROR(SUMIFS(Expenses!$E:$E,Expenses!$B:$B,"&gt;="&amp;$C153,Expenses!$B:$B,"&lt;="&amp;$D153),"na"))</f>
        <v>0</v>
      </c>
      <c r="F153" s="173">
        <f>IF($D153="","",IFERROR(SUMIFS(Income!$D:$D,Income!$B:$B,"&gt;="&amp;$C153,Income!$B:$B,"&lt;="&amp;$D153),"na"))</f>
        <v>0</v>
      </c>
      <c r="G153" s="173">
        <f t="shared" si="0"/>
        <v>0</v>
      </c>
      <c r="H153" s="174" t="str">
        <f t="shared" si="1"/>
        <v>na</v>
      </c>
      <c r="I153" s="174" t="str">
        <f t="shared" si="2"/>
        <v>na</v>
      </c>
      <c r="J153" s="173">
        <f t="shared" ref="J153:L153" si="151">IF(E153="","",J$5)</f>
        <v>38</v>
      </c>
      <c r="K153" s="173">
        <f t="shared" si="151"/>
        <v>300</v>
      </c>
      <c r="L153" s="173">
        <f t="shared" si="151"/>
        <v>262</v>
      </c>
      <c r="M153" s="173">
        <f>IF($D153="","",'Total &amp; Budget Targets'!$G$44)</f>
        <v>0</v>
      </c>
      <c r="N153" s="173">
        <f>IF($D153="","",'Total &amp; Budget Targets'!$G$63)</f>
        <v>0</v>
      </c>
      <c r="O153" s="173">
        <f>IF($D153="","",'Total &amp; Budget Targets'!$G$69)</f>
        <v>0</v>
      </c>
    </row>
    <row r="154" spans="1:15" ht="15.75" customHeight="1" x14ac:dyDescent="0.2">
      <c r="A154" s="165">
        <f t="shared" si="3"/>
        <v>150</v>
      </c>
      <c r="B154" s="172"/>
      <c r="C154" s="169">
        <f>IF(D153="","",IF(D153+1&gt;'Date Info'!$D$21,"",D153+1))</f>
        <v>50222</v>
      </c>
      <c r="D154" s="172">
        <f>IFERROR(IF(C154="","",IF(EOMONTH(C154,0)&gt;'Date Info'!$D$21,'Date Info'!$D$21,EOMONTH(C154,0))),"")</f>
        <v>50252</v>
      </c>
      <c r="E154" s="173">
        <f>IF($D154="","",IFERROR(SUMIFS(Expenses!$E:$E,Expenses!$B:$B,"&gt;="&amp;$C154,Expenses!$B:$B,"&lt;="&amp;$D154),"na"))</f>
        <v>0</v>
      </c>
      <c r="F154" s="173">
        <f>IF($D154="","",IFERROR(SUMIFS(Income!$D:$D,Income!$B:$B,"&gt;="&amp;$C154,Income!$B:$B,"&lt;="&amp;$D154),"na"))</f>
        <v>0</v>
      </c>
      <c r="G154" s="173">
        <f t="shared" si="0"/>
        <v>0</v>
      </c>
      <c r="H154" s="174" t="str">
        <f t="shared" si="1"/>
        <v>na</v>
      </c>
      <c r="I154" s="174" t="str">
        <f t="shared" si="2"/>
        <v>na</v>
      </c>
      <c r="J154" s="173">
        <f t="shared" ref="J154:L154" si="152">IF(E154="","",J$5)</f>
        <v>38</v>
      </c>
      <c r="K154" s="173">
        <f t="shared" si="152"/>
        <v>300</v>
      </c>
      <c r="L154" s="173">
        <f t="shared" si="152"/>
        <v>262</v>
      </c>
      <c r="M154" s="173">
        <f>IF($D154="","",'Total &amp; Budget Targets'!$G$44)</f>
        <v>0</v>
      </c>
      <c r="N154" s="173">
        <f>IF($D154="","",'Total &amp; Budget Targets'!$G$63)</f>
        <v>0</v>
      </c>
      <c r="O154" s="173">
        <f>IF($D154="","",'Total &amp; Budget Targets'!$G$69)</f>
        <v>0</v>
      </c>
    </row>
    <row r="155" spans="1:15" ht="15.75" customHeight="1" x14ac:dyDescent="0.2">
      <c r="A155" s="165">
        <f t="shared" si="3"/>
        <v>151</v>
      </c>
      <c r="B155" s="172"/>
      <c r="C155" s="169">
        <f>IF(D154="","",IF(D154+1&gt;'Date Info'!$D$21,"",D154+1))</f>
        <v>50253</v>
      </c>
      <c r="D155" s="172">
        <f>IFERROR(IF(C155="","",IF(EOMONTH(C155,0)&gt;'Date Info'!$D$21,'Date Info'!$D$21,EOMONTH(C155,0))),"")</f>
        <v>50283</v>
      </c>
      <c r="E155" s="173">
        <f>IF($D155="","",IFERROR(SUMIFS(Expenses!$E:$E,Expenses!$B:$B,"&gt;="&amp;$C155,Expenses!$B:$B,"&lt;="&amp;$D155),"na"))</f>
        <v>0</v>
      </c>
      <c r="F155" s="173">
        <f>IF($D155="","",IFERROR(SUMIFS(Income!$D:$D,Income!$B:$B,"&gt;="&amp;$C155,Income!$B:$B,"&lt;="&amp;$D155),"na"))</f>
        <v>0</v>
      </c>
      <c r="G155" s="173">
        <f t="shared" si="0"/>
        <v>0</v>
      </c>
      <c r="H155" s="174" t="str">
        <f t="shared" si="1"/>
        <v>na</v>
      </c>
      <c r="I155" s="174" t="str">
        <f t="shared" si="2"/>
        <v>na</v>
      </c>
      <c r="J155" s="173">
        <f t="shared" ref="J155:L155" si="153">IF(E155="","",J$5)</f>
        <v>38</v>
      </c>
      <c r="K155" s="173">
        <f t="shared" si="153"/>
        <v>300</v>
      </c>
      <c r="L155" s="173">
        <f t="shared" si="153"/>
        <v>262</v>
      </c>
      <c r="M155" s="173">
        <f>IF($D155="","",'Total &amp; Budget Targets'!$G$44)</f>
        <v>0</v>
      </c>
      <c r="N155" s="173">
        <f>IF($D155="","",'Total &amp; Budget Targets'!$G$63)</f>
        <v>0</v>
      </c>
      <c r="O155" s="173">
        <f>IF($D155="","",'Total &amp; Budget Targets'!$G$69)</f>
        <v>0</v>
      </c>
    </row>
    <row r="156" spans="1:15" ht="15.75" customHeight="1" x14ac:dyDescent="0.2">
      <c r="A156" s="165">
        <f t="shared" si="3"/>
        <v>152</v>
      </c>
      <c r="B156" s="172"/>
      <c r="C156" s="169">
        <f>IF(D155="","",IF(D155+1&gt;'Date Info'!$D$21,"",D155+1))</f>
        <v>50284</v>
      </c>
      <c r="D156" s="172">
        <f>IFERROR(IF(C156="","",IF(EOMONTH(C156,0)&gt;'Date Info'!$D$21,'Date Info'!$D$21,EOMONTH(C156,0))),"")</f>
        <v>50313</v>
      </c>
      <c r="E156" s="173">
        <f>IF($D156="","",IFERROR(SUMIFS(Expenses!$E:$E,Expenses!$B:$B,"&gt;="&amp;$C156,Expenses!$B:$B,"&lt;="&amp;$D156),"na"))</f>
        <v>0</v>
      </c>
      <c r="F156" s="173">
        <f>IF($D156="","",IFERROR(SUMIFS(Income!$D:$D,Income!$B:$B,"&gt;="&amp;$C156,Income!$B:$B,"&lt;="&amp;$D156),"na"))</f>
        <v>0</v>
      </c>
      <c r="G156" s="173">
        <f t="shared" si="0"/>
        <v>0</v>
      </c>
      <c r="H156" s="174" t="str">
        <f t="shared" si="1"/>
        <v>na</v>
      </c>
      <c r="I156" s="174" t="str">
        <f t="shared" si="2"/>
        <v>na</v>
      </c>
      <c r="J156" s="173">
        <f t="shared" ref="J156:L156" si="154">IF(E156="","",J$5)</f>
        <v>38</v>
      </c>
      <c r="K156" s="173">
        <f t="shared" si="154"/>
        <v>300</v>
      </c>
      <c r="L156" s="173">
        <f t="shared" si="154"/>
        <v>262</v>
      </c>
      <c r="M156" s="173">
        <f>IF($D156="","",'Total &amp; Budget Targets'!$G$44)</f>
        <v>0</v>
      </c>
      <c r="N156" s="173">
        <f>IF($D156="","",'Total &amp; Budget Targets'!$G$63)</f>
        <v>0</v>
      </c>
      <c r="O156" s="173">
        <f>IF($D156="","",'Total &amp; Budget Targets'!$G$69)</f>
        <v>0</v>
      </c>
    </row>
    <row r="157" spans="1:15" ht="15.75" customHeight="1" x14ac:dyDescent="0.2">
      <c r="A157" s="165">
        <f t="shared" si="3"/>
        <v>153</v>
      </c>
      <c r="B157" s="172"/>
      <c r="C157" s="169">
        <f>IF(D156="","",IF(D156+1&gt;'Date Info'!$D$21,"",D156+1))</f>
        <v>50314</v>
      </c>
      <c r="D157" s="172">
        <f>IFERROR(IF(C157="","",IF(EOMONTH(C157,0)&gt;'Date Info'!$D$21,'Date Info'!$D$21,EOMONTH(C157,0))),"")</f>
        <v>50344</v>
      </c>
      <c r="E157" s="173">
        <f>IF($D157="","",IFERROR(SUMIFS(Expenses!$E:$E,Expenses!$B:$B,"&gt;="&amp;$C157,Expenses!$B:$B,"&lt;="&amp;$D157),"na"))</f>
        <v>0</v>
      </c>
      <c r="F157" s="173">
        <f>IF($D157="","",IFERROR(SUMIFS(Income!$D:$D,Income!$B:$B,"&gt;="&amp;$C157,Income!$B:$B,"&lt;="&amp;$D157),"na"))</f>
        <v>0</v>
      </c>
      <c r="G157" s="173">
        <f t="shared" si="0"/>
        <v>0</v>
      </c>
      <c r="H157" s="174" t="str">
        <f t="shared" si="1"/>
        <v>na</v>
      </c>
      <c r="I157" s="174" t="str">
        <f t="shared" si="2"/>
        <v>na</v>
      </c>
      <c r="J157" s="173">
        <f t="shared" ref="J157:L157" si="155">IF(E157="","",J$5)</f>
        <v>38</v>
      </c>
      <c r="K157" s="173">
        <f t="shared" si="155"/>
        <v>300</v>
      </c>
      <c r="L157" s="173">
        <f t="shared" si="155"/>
        <v>262</v>
      </c>
      <c r="M157" s="173">
        <f>IF($D157="","",'Total &amp; Budget Targets'!$G$44)</f>
        <v>0</v>
      </c>
      <c r="N157" s="173">
        <f>IF($D157="","",'Total &amp; Budget Targets'!$G$63)</f>
        <v>0</v>
      </c>
      <c r="O157" s="173">
        <f>IF($D157="","",'Total &amp; Budget Targets'!$G$69)</f>
        <v>0</v>
      </c>
    </row>
    <row r="158" spans="1:15" ht="15.75" customHeight="1" x14ac:dyDescent="0.2">
      <c r="A158" s="165">
        <f t="shared" si="3"/>
        <v>154</v>
      </c>
      <c r="B158" s="172"/>
      <c r="C158" s="169">
        <f>IF(D157="","",IF(D157+1&gt;'Date Info'!$D$21,"",D157+1))</f>
        <v>50345</v>
      </c>
      <c r="D158" s="172">
        <f>IFERROR(IF(C158="","",IF(EOMONTH(C158,0)&gt;'Date Info'!$D$21,'Date Info'!$D$21,EOMONTH(C158,0))),"")</f>
        <v>50374</v>
      </c>
      <c r="E158" s="173">
        <f>IF($D158="","",IFERROR(SUMIFS(Expenses!$E:$E,Expenses!$B:$B,"&gt;="&amp;$C158,Expenses!$B:$B,"&lt;="&amp;$D158),"na"))</f>
        <v>0</v>
      </c>
      <c r="F158" s="173">
        <f>IF($D158="","",IFERROR(SUMIFS(Income!$D:$D,Income!$B:$B,"&gt;="&amp;$C158,Income!$B:$B,"&lt;="&amp;$D158),"na"))</f>
        <v>0</v>
      </c>
      <c r="G158" s="173">
        <f t="shared" si="0"/>
        <v>0</v>
      </c>
      <c r="H158" s="174" t="str">
        <f t="shared" si="1"/>
        <v>na</v>
      </c>
      <c r="I158" s="174" t="str">
        <f t="shared" si="2"/>
        <v>na</v>
      </c>
      <c r="J158" s="173">
        <f t="shared" ref="J158:L158" si="156">IF(E158="","",J$5)</f>
        <v>38</v>
      </c>
      <c r="K158" s="173">
        <f t="shared" si="156"/>
        <v>300</v>
      </c>
      <c r="L158" s="173">
        <f t="shared" si="156"/>
        <v>262</v>
      </c>
      <c r="M158" s="173">
        <f>IF($D158="","",'Total &amp; Budget Targets'!$G$44)</f>
        <v>0</v>
      </c>
      <c r="N158" s="173">
        <f>IF($D158="","",'Total &amp; Budget Targets'!$G$63)</f>
        <v>0</v>
      </c>
      <c r="O158" s="173">
        <f>IF($D158="","",'Total &amp; Budget Targets'!$G$69)</f>
        <v>0</v>
      </c>
    </row>
    <row r="159" spans="1:15" ht="15.75" customHeight="1" x14ac:dyDescent="0.2">
      <c r="A159" s="165">
        <f t="shared" si="3"/>
        <v>155</v>
      </c>
      <c r="B159" s="172"/>
      <c r="C159" s="169">
        <f>IF(D158="","",IF(D158+1&gt;'Date Info'!$D$21,"",D158+1))</f>
        <v>50375</v>
      </c>
      <c r="D159" s="172">
        <f>IFERROR(IF(C159="","",IF(EOMONTH(C159,0)&gt;'Date Info'!$D$21,'Date Info'!$D$21,EOMONTH(C159,0))),"")</f>
        <v>50405</v>
      </c>
      <c r="E159" s="173">
        <f>IF($D159="","",IFERROR(SUMIFS(Expenses!$E:$E,Expenses!$B:$B,"&gt;="&amp;$C159,Expenses!$B:$B,"&lt;="&amp;$D159),"na"))</f>
        <v>0</v>
      </c>
      <c r="F159" s="173">
        <f>IF($D159="","",IFERROR(SUMIFS(Income!$D:$D,Income!$B:$B,"&gt;="&amp;$C159,Income!$B:$B,"&lt;="&amp;$D159),"na"))</f>
        <v>0</v>
      </c>
      <c r="G159" s="173">
        <f t="shared" si="0"/>
        <v>0</v>
      </c>
      <c r="H159" s="174" t="str">
        <f t="shared" si="1"/>
        <v>na</v>
      </c>
      <c r="I159" s="174" t="str">
        <f t="shared" si="2"/>
        <v>na</v>
      </c>
      <c r="J159" s="173">
        <f t="shared" ref="J159:L159" si="157">IF(E159="","",J$5)</f>
        <v>38</v>
      </c>
      <c r="K159" s="173">
        <f t="shared" si="157"/>
        <v>300</v>
      </c>
      <c r="L159" s="173">
        <f t="shared" si="157"/>
        <v>262</v>
      </c>
      <c r="M159" s="173">
        <f>IF($D159="","",'Total &amp; Budget Targets'!$G$44)</f>
        <v>0</v>
      </c>
      <c r="N159" s="173">
        <f>IF($D159="","",'Total &amp; Budget Targets'!$G$63)</f>
        <v>0</v>
      </c>
      <c r="O159" s="173">
        <f>IF($D159="","",'Total &amp; Budget Targets'!$G$69)</f>
        <v>0</v>
      </c>
    </row>
    <row r="160" spans="1:15" ht="15.75" customHeight="1" x14ac:dyDescent="0.2">
      <c r="A160" s="165">
        <f t="shared" si="3"/>
        <v>156</v>
      </c>
      <c r="B160" s="172"/>
      <c r="C160" s="169">
        <f>IF(D159="","",IF(D159+1&gt;'Date Info'!$D$21,"",D159+1))</f>
        <v>50406</v>
      </c>
      <c r="D160" s="172">
        <f>IFERROR(IF(C160="","",IF(EOMONTH(C160,0)&gt;'Date Info'!$D$21,'Date Info'!$D$21,EOMONTH(C160,0))),"")</f>
        <v>50436</v>
      </c>
      <c r="E160" s="173">
        <f>IF($D160="","",IFERROR(SUMIFS(Expenses!$E:$E,Expenses!$B:$B,"&gt;="&amp;$C160,Expenses!$B:$B,"&lt;="&amp;$D160),"na"))</f>
        <v>0</v>
      </c>
      <c r="F160" s="173">
        <f>IF($D160="","",IFERROR(SUMIFS(Income!$D:$D,Income!$B:$B,"&gt;="&amp;$C160,Income!$B:$B,"&lt;="&amp;$D160),"na"))</f>
        <v>0</v>
      </c>
      <c r="G160" s="173">
        <f t="shared" si="0"/>
        <v>0</v>
      </c>
      <c r="H160" s="174" t="str">
        <f t="shared" si="1"/>
        <v>na</v>
      </c>
      <c r="I160" s="174" t="str">
        <f t="shared" si="2"/>
        <v>na</v>
      </c>
      <c r="J160" s="173">
        <f t="shared" ref="J160:L160" si="158">IF(E160="","",J$5)</f>
        <v>38</v>
      </c>
      <c r="K160" s="173">
        <f t="shared" si="158"/>
        <v>300</v>
      </c>
      <c r="L160" s="173">
        <f t="shared" si="158"/>
        <v>262</v>
      </c>
      <c r="M160" s="173">
        <f>IF($D160="","",'Total &amp; Budget Targets'!$G$44)</f>
        <v>0</v>
      </c>
      <c r="N160" s="173">
        <f>IF($D160="","",'Total &amp; Budget Targets'!$G$63)</f>
        <v>0</v>
      </c>
      <c r="O160" s="173">
        <f>IF($D160="","",'Total &amp; Budget Targets'!$G$69)</f>
        <v>0</v>
      </c>
    </row>
    <row r="161" spans="1:15" ht="15.75" customHeight="1" x14ac:dyDescent="0.2">
      <c r="A161" s="165">
        <f t="shared" si="3"/>
        <v>157</v>
      </c>
      <c r="B161" s="172"/>
      <c r="C161" s="169">
        <f>IF(D160="","",IF(D160+1&gt;'Date Info'!$D$21,"",D160+1))</f>
        <v>50437</v>
      </c>
      <c r="D161" s="172">
        <f>IFERROR(IF(C161="","",IF(EOMONTH(C161,0)&gt;'Date Info'!$D$21,'Date Info'!$D$21,EOMONTH(C161,0))),"")</f>
        <v>50464</v>
      </c>
      <c r="E161" s="173">
        <f>IF($D161="","",IFERROR(SUMIFS(Expenses!$E:$E,Expenses!$B:$B,"&gt;="&amp;$C161,Expenses!$B:$B,"&lt;="&amp;$D161),"na"))</f>
        <v>0</v>
      </c>
      <c r="F161" s="173">
        <f>IF($D161="","",IFERROR(SUMIFS(Income!$D:$D,Income!$B:$B,"&gt;="&amp;$C161,Income!$B:$B,"&lt;="&amp;$D161),"na"))</f>
        <v>0</v>
      </c>
      <c r="G161" s="173">
        <f t="shared" si="0"/>
        <v>0</v>
      </c>
      <c r="H161" s="174" t="str">
        <f t="shared" si="1"/>
        <v>na</v>
      </c>
      <c r="I161" s="174" t="str">
        <f t="shared" si="2"/>
        <v>na</v>
      </c>
      <c r="J161" s="173">
        <f t="shared" ref="J161:L161" si="159">IF(E161="","",J$5)</f>
        <v>38</v>
      </c>
      <c r="K161" s="173">
        <f t="shared" si="159"/>
        <v>300</v>
      </c>
      <c r="L161" s="173">
        <f t="shared" si="159"/>
        <v>262</v>
      </c>
      <c r="M161" s="173">
        <f>IF($D161="","",'Total &amp; Budget Targets'!$G$44)</f>
        <v>0</v>
      </c>
      <c r="N161" s="173">
        <f>IF($D161="","",'Total &amp; Budget Targets'!$G$63)</f>
        <v>0</v>
      </c>
      <c r="O161" s="173">
        <f>IF($D161="","",'Total &amp; Budget Targets'!$G$69)</f>
        <v>0</v>
      </c>
    </row>
    <row r="162" spans="1:15" ht="15.75" customHeight="1" x14ac:dyDescent="0.2">
      <c r="A162" s="165">
        <f t="shared" si="3"/>
        <v>158</v>
      </c>
      <c r="B162" s="172"/>
      <c r="C162" s="169">
        <f>IF(D161="","",IF(D161+1&gt;'Date Info'!$D$21,"",D161+1))</f>
        <v>50465</v>
      </c>
      <c r="D162" s="172">
        <f>IFERROR(IF(C162="","",IF(EOMONTH(C162,0)&gt;'Date Info'!$D$21,'Date Info'!$D$21,EOMONTH(C162,0))),"")</f>
        <v>50495</v>
      </c>
      <c r="E162" s="173">
        <f>IF($D162="","",IFERROR(SUMIFS(Expenses!$E:$E,Expenses!$B:$B,"&gt;="&amp;$C162,Expenses!$B:$B,"&lt;="&amp;$D162),"na"))</f>
        <v>0</v>
      </c>
      <c r="F162" s="173">
        <f>IF($D162="","",IFERROR(SUMIFS(Income!$D:$D,Income!$B:$B,"&gt;="&amp;$C162,Income!$B:$B,"&lt;="&amp;$D162),"na"))</f>
        <v>0</v>
      </c>
      <c r="G162" s="173">
        <f t="shared" si="0"/>
        <v>0</v>
      </c>
      <c r="H162" s="174" t="str">
        <f t="shared" si="1"/>
        <v>na</v>
      </c>
      <c r="I162" s="174" t="str">
        <f t="shared" si="2"/>
        <v>na</v>
      </c>
      <c r="J162" s="173">
        <f t="shared" ref="J162:L162" si="160">IF(E162="","",J$5)</f>
        <v>38</v>
      </c>
      <c r="K162" s="173">
        <f t="shared" si="160"/>
        <v>300</v>
      </c>
      <c r="L162" s="173">
        <f t="shared" si="160"/>
        <v>262</v>
      </c>
      <c r="M162" s="173">
        <f>IF($D162="","",'Total &amp; Budget Targets'!$G$44)</f>
        <v>0</v>
      </c>
      <c r="N162" s="173">
        <f>IF($D162="","",'Total &amp; Budget Targets'!$G$63)</f>
        <v>0</v>
      </c>
      <c r="O162" s="173">
        <f>IF($D162="","",'Total &amp; Budget Targets'!$G$69)</f>
        <v>0</v>
      </c>
    </row>
    <row r="163" spans="1:15" ht="15.75" customHeight="1" x14ac:dyDescent="0.2">
      <c r="A163" s="165">
        <f t="shared" si="3"/>
        <v>159</v>
      </c>
      <c r="B163" s="172"/>
      <c r="C163" s="169">
        <f>IF(D162="","",IF(D162+1&gt;'Date Info'!$D$21,"",D162+1))</f>
        <v>50496</v>
      </c>
      <c r="D163" s="172">
        <f>IFERROR(IF(C163="","",IF(EOMONTH(C163,0)&gt;'Date Info'!$D$21,'Date Info'!$D$21,EOMONTH(C163,0))),"")</f>
        <v>50525</v>
      </c>
      <c r="E163" s="173">
        <f>IF($D163="","",IFERROR(SUMIFS(Expenses!$E:$E,Expenses!$B:$B,"&gt;="&amp;$C163,Expenses!$B:$B,"&lt;="&amp;$D163),"na"))</f>
        <v>0</v>
      </c>
      <c r="F163" s="173">
        <f>IF($D163="","",IFERROR(SUMIFS(Income!$D:$D,Income!$B:$B,"&gt;="&amp;$C163,Income!$B:$B,"&lt;="&amp;$D163),"na"))</f>
        <v>0</v>
      </c>
      <c r="G163" s="173">
        <f t="shared" si="0"/>
        <v>0</v>
      </c>
      <c r="H163" s="174" t="str">
        <f t="shared" si="1"/>
        <v>na</v>
      </c>
      <c r="I163" s="174" t="str">
        <f t="shared" si="2"/>
        <v>na</v>
      </c>
      <c r="J163" s="173">
        <f t="shared" ref="J163:L163" si="161">IF(E163="","",J$5)</f>
        <v>38</v>
      </c>
      <c r="K163" s="173">
        <f t="shared" si="161"/>
        <v>300</v>
      </c>
      <c r="L163" s="173">
        <f t="shared" si="161"/>
        <v>262</v>
      </c>
      <c r="M163" s="173">
        <f>IF($D163="","",'Total &amp; Budget Targets'!$G$44)</f>
        <v>0</v>
      </c>
      <c r="N163" s="173">
        <f>IF($D163="","",'Total &amp; Budget Targets'!$G$63)</f>
        <v>0</v>
      </c>
      <c r="O163" s="173">
        <f>IF($D163="","",'Total &amp; Budget Targets'!$G$69)</f>
        <v>0</v>
      </c>
    </row>
    <row r="164" spans="1:15" ht="15.75" customHeight="1" x14ac:dyDescent="0.2">
      <c r="A164" s="165">
        <f t="shared" si="3"/>
        <v>160</v>
      </c>
      <c r="B164" s="172"/>
      <c r="C164" s="169">
        <f>IF(D163="","",IF(D163+1&gt;'Date Info'!$D$21,"",D163+1))</f>
        <v>50526</v>
      </c>
      <c r="D164" s="172">
        <f>IFERROR(IF(C164="","",IF(EOMONTH(C164,0)&gt;'Date Info'!$D$21,'Date Info'!$D$21,EOMONTH(C164,0))),"")</f>
        <v>50556</v>
      </c>
      <c r="E164" s="173">
        <f>IF($D164="","",IFERROR(SUMIFS(Expenses!$E:$E,Expenses!$B:$B,"&gt;="&amp;$C164,Expenses!$B:$B,"&lt;="&amp;$D164),"na"))</f>
        <v>0</v>
      </c>
      <c r="F164" s="173">
        <f>IF($D164="","",IFERROR(SUMIFS(Income!$D:$D,Income!$B:$B,"&gt;="&amp;$C164,Income!$B:$B,"&lt;="&amp;$D164),"na"))</f>
        <v>0</v>
      </c>
      <c r="G164" s="173">
        <f t="shared" si="0"/>
        <v>0</v>
      </c>
      <c r="H164" s="174" t="str">
        <f t="shared" si="1"/>
        <v>na</v>
      </c>
      <c r="I164" s="174" t="str">
        <f t="shared" si="2"/>
        <v>na</v>
      </c>
      <c r="J164" s="173">
        <f t="shared" ref="J164:L164" si="162">IF(E164="","",J$5)</f>
        <v>38</v>
      </c>
      <c r="K164" s="173">
        <f t="shared" si="162"/>
        <v>300</v>
      </c>
      <c r="L164" s="173">
        <f t="shared" si="162"/>
        <v>262</v>
      </c>
      <c r="M164" s="173">
        <f>IF($D164="","",'Total &amp; Budget Targets'!$G$44)</f>
        <v>0</v>
      </c>
      <c r="N164" s="173">
        <f>IF($D164="","",'Total &amp; Budget Targets'!$G$63)</f>
        <v>0</v>
      </c>
      <c r="O164" s="173">
        <f>IF($D164="","",'Total &amp; Budget Targets'!$G$69)</f>
        <v>0</v>
      </c>
    </row>
    <row r="165" spans="1:15" ht="15.75" customHeight="1" x14ac:dyDescent="0.2">
      <c r="A165" s="165">
        <f t="shared" si="3"/>
        <v>161</v>
      </c>
      <c r="B165" s="172"/>
      <c r="C165" s="169">
        <f>IF(D164="","",IF(D164+1&gt;'Date Info'!$D$21,"",D164+1))</f>
        <v>50557</v>
      </c>
      <c r="D165" s="172">
        <f>IFERROR(IF(C165="","",IF(EOMONTH(C165,0)&gt;'Date Info'!$D$21,'Date Info'!$D$21,EOMONTH(C165,0))),"")</f>
        <v>50586</v>
      </c>
      <c r="E165" s="173">
        <f>IF($D165="","",IFERROR(SUMIFS(Expenses!$E:$E,Expenses!$B:$B,"&gt;="&amp;$C165,Expenses!$B:$B,"&lt;="&amp;$D165),"na"))</f>
        <v>0</v>
      </c>
      <c r="F165" s="173">
        <f>IF($D165="","",IFERROR(SUMIFS(Income!$D:$D,Income!$B:$B,"&gt;="&amp;$C165,Income!$B:$B,"&lt;="&amp;$D165),"na"))</f>
        <v>0</v>
      </c>
      <c r="G165" s="173">
        <f t="shared" si="0"/>
        <v>0</v>
      </c>
      <c r="H165" s="174" t="str">
        <f t="shared" si="1"/>
        <v>na</v>
      </c>
      <c r="I165" s="174" t="str">
        <f t="shared" si="2"/>
        <v>na</v>
      </c>
      <c r="J165" s="173">
        <f t="shared" ref="J165:L165" si="163">IF(E165="","",J$5)</f>
        <v>38</v>
      </c>
      <c r="K165" s="173">
        <f t="shared" si="163"/>
        <v>300</v>
      </c>
      <c r="L165" s="173">
        <f t="shared" si="163"/>
        <v>262</v>
      </c>
      <c r="M165" s="173">
        <f>IF($D165="","",'Total &amp; Budget Targets'!$G$44)</f>
        <v>0</v>
      </c>
      <c r="N165" s="173">
        <f>IF($D165="","",'Total &amp; Budget Targets'!$G$63)</f>
        <v>0</v>
      </c>
      <c r="O165" s="173">
        <f>IF($D165="","",'Total &amp; Budget Targets'!$G$69)</f>
        <v>0</v>
      </c>
    </row>
    <row r="166" spans="1:15" ht="15.75" customHeight="1" x14ac:dyDescent="0.2">
      <c r="A166" s="165">
        <f t="shared" si="3"/>
        <v>162</v>
      </c>
      <c r="B166" s="172"/>
      <c r="C166" s="169">
        <f>IF(D165="","",IF(D165+1&gt;'Date Info'!$D$21,"",D165+1))</f>
        <v>50587</v>
      </c>
      <c r="D166" s="172">
        <f>IFERROR(IF(C166="","",IF(EOMONTH(C166,0)&gt;'Date Info'!$D$21,'Date Info'!$D$21,EOMONTH(C166,0))),"")</f>
        <v>50617</v>
      </c>
      <c r="E166" s="173">
        <f>IF($D166="","",IFERROR(SUMIFS(Expenses!$E:$E,Expenses!$B:$B,"&gt;="&amp;$C166,Expenses!$B:$B,"&lt;="&amp;$D166),"na"))</f>
        <v>0</v>
      </c>
      <c r="F166" s="173">
        <f>IF($D166="","",IFERROR(SUMIFS(Income!$D:$D,Income!$B:$B,"&gt;="&amp;$C166,Income!$B:$B,"&lt;="&amp;$D166),"na"))</f>
        <v>0</v>
      </c>
      <c r="G166" s="173">
        <f t="shared" si="0"/>
        <v>0</v>
      </c>
      <c r="H166" s="174" t="str">
        <f t="shared" si="1"/>
        <v>na</v>
      </c>
      <c r="I166" s="174" t="str">
        <f t="shared" si="2"/>
        <v>na</v>
      </c>
      <c r="J166" s="173">
        <f t="shared" ref="J166:L166" si="164">IF(E166="","",J$5)</f>
        <v>38</v>
      </c>
      <c r="K166" s="173">
        <f t="shared" si="164"/>
        <v>300</v>
      </c>
      <c r="L166" s="173">
        <f t="shared" si="164"/>
        <v>262</v>
      </c>
      <c r="M166" s="173">
        <f>IF($D166="","",'Total &amp; Budget Targets'!$G$44)</f>
        <v>0</v>
      </c>
      <c r="N166" s="173">
        <f>IF($D166="","",'Total &amp; Budget Targets'!$G$63)</f>
        <v>0</v>
      </c>
      <c r="O166" s="173">
        <f>IF($D166="","",'Total &amp; Budget Targets'!$G$69)</f>
        <v>0</v>
      </c>
    </row>
    <row r="167" spans="1:15" ht="15.75" customHeight="1" x14ac:dyDescent="0.2">
      <c r="A167" s="165">
        <f t="shared" si="3"/>
        <v>163</v>
      </c>
      <c r="B167" s="172"/>
      <c r="C167" s="169">
        <f>IF(D166="","",IF(D166+1&gt;'Date Info'!$D$21,"",D166+1))</f>
        <v>50618</v>
      </c>
      <c r="D167" s="172">
        <f>IFERROR(IF(C167="","",IF(EOMONTH(C167,0)&gt;'Date Info'!$D$21,'Date Info'!$D$21,EOMONTH(C167,0))),"")</f>
        <v>50648</v>
      </c>
      <c r="E167" s="173">
        <f>IF($D167="","",IFERROR(SUMIFS(Expenses!$E:$E,Expenses!$B:$B,"&gt;="&amp;$C167,Expenses!$B:$B,"&lt;="&amp;$D167),"na"))</f>
        <v>0</v>
      </c>
      <c r="F167" s="173">
        <f>IF($D167="","",IFERROR(SUMIFS(Income!$D:$D,Income!$B:$B,"&gt;="&amp;$C167,Income!$B:$B,"&lt;="&amp;$D167),"na"))</f>
        <v>0</v>
      </c>
      <c r="G167" s="173">
        <f t="shared" si="0"/>
        <v>0</v>
      </c>
      <c r="H167" s="174" t="str">
        <f t="shared" si="1"/>
        <v>na</v>
      </c>
      <c r="I167" s="174" t="str">
        <f t="shared" si="2"/>
        <v>na</v>
      </c>
      <c r="J167" s="173">
        <f t="shared" ref="J167:L167" si="165">IF(E167="","",J$5)</f>
        <v>38</v>
      </c>
      <c r="K167" s="173">
        <f t="shared" si="165"/>
        <v>300</v>
      </c>
      <c r="L167" s="173">
        <f t="shared" si="165"/>
        <v>262</v>
      </c>
      <c r="M167" s="173">
        <f>IF($D167="","",'Total &amp; Budget Targets'!$G$44)</f>
        <v>0</v>
      </c>
      <c r="N167" s="173">
        <f>IF($D167="","",'Total &amp; Budget Targets'!$G$63)</f>
        <v>0</v>
      </c>
      <c r="O167" s="173">
        <f>IF($D167="","",'Total &amp; Budget Targets'!$G$69)</f>
        <v>0</v>
      </c>
    </row>
    <row r="168" spans="1:15" ht="15.75" customHeight="1" x14ac:dyDescent="0.2">
      <c r="A168" s="165">
        <f t="shared" si="3"/>
        <v>164</v>
      </c>
      <c r="B168" s="172"/>
      <c r="C168" s="169">
        <f>IF(D167="","",IF(D167+1&gt;'Date Info'!$D$21,"",D167+1))</f>
        <v>50649</v>
      </c>
      <c r="D168" s="172">
        <f>IFERROR(IF(C168="","",IF(EOMONTH(C168,0)&gt;'Date Info'!$D$21,'Date Info'!$D$21,EOMONTH(C168,0))),"")</f>
        <v>50678</v>
      </c>
      <c r="E168" s="173">
        <f>IF($D168="","",IFERROR(SUMIFS(Expenses!$E:$E,Expenses!$B:$B,"&gt;="&amp;$C168,Expenses!$B:$B,"&lt;="&amp;$D168),"na"))</f>
        <v>0</v>
      </c>
      <c r="F168" s="173">
        <f>IF($D168="","",IFERROR(SUMIFS(Income!$D:$D,Income!$B:$B,"&gt;="&amp;$C168,Income!$B:$B,"&lt;="&amp;$D168),"na"))</f>
        <v>0</v>
      </c>
      <c r="G168" s="173">
        <f t="shared" si="0"/>
        <v>0</v>
      </c>
      <c r="H168" s="174" t="str">
        <f t="shared" si="1"/>
        <v>na</v>
      </c>
      <c r="I168" s="174" t="str">
        <f t="shared" si="2"/>
        <v>na</v>
      </c>
      <c r="J168" s="173">
        <f t="shared" ref="J168:L168" si="166">IF(E168="","",J$5)</f>
        <v>38</v>
      </c>
      <c r="K168" s="173">
        <f t="shared" si="166"/>
        <v>300</v>
      </c>
      <c r="L168" s="173">
        <f t="shared" si="166"/>
        <v>262</v>
      </c>
      <c r="M168" s="173">
        <f>IF($D168="","",'Total &amp; Budget Targets'!$G$44)</f>
        <v>0</v>
      </c>
      <c r="N168" s="173">
        <f>IF($D168="","",'Total &amp; Budget Targets'!$G$63)</f>
        <v>0</v>
      </c>
      <c r="O168" s="173">
        <f>IF($D168="","",'Total &amp; Budget Targets'!$G$69)</f>
        <v>0</v>
      </c>
    </row>
    <row r="169" spans="1:15" ht="15.75" customHeight="1" x14ac:dyDescent="0.2">
      <c r="A169" s="165">
        <f t="shared" si="3"/>
        <v>165</v>
      </c>
      <c r="B169" s="172"/>
      <c r="C169" s="169">
        <f>IF(D168="","",IF(D168+1&gt;'Date Info'!$D$21,"",D168+1))</f>
        <v>50679</v>
      </c>
      <c r="D169" s="172">
        <f>IFERROR(IF(C169="","",IF(EOMONTH(C169,0)&gt;'Date Info'!$D$21,'Date Info'!$D$21,EOMONTH(C169,0))),"")</f>
        <v>50709</v>
      </c>
      <c r="E169" s="173">
        <f>IF($D169="","",IFERROR(SUMIFS(Expenses!$E:$E,Expenses!$B:$B,"&gt;="&amp;$C169,Expenses!$B:$B,"&lt;="&amp;$D169),"na"))</f>
        <v>0</v>
      </c>
      <c r="F169" s="173">
        <f>IF($D169="","",IFERROR(SUMIFS(Income!$D:$D,Income!$B:$B,"&gt;="&amp;$C169,Income!$B:$B,"&lt;="&amp;$D169),"na"))</f>
        <v>0</v>
      </c>
      <c r="G169" s="173">
        <f t="shared" si="0"/>
        <v>0</v>
      </c>
      <c r="H169" s="174" t="str">
        <f t="shared" si="1"/>
        <v>na</v>
      </c>
      <c r="I169" s="174" t="str">
        <f t="shared" si="2"/>
        <v>na</v>
      </c>
      <c r="J169" s="173">
        <f t="shared" ref="J169:L169" si="167">IF(E169="","",J$5)</f>
        <v>38</v>
      </c>
      <c r="K169" s="173">
        <f t="shared" si="167"/>
        <v>300</v>
      </c>
      <c r="L169" s="173">
        <f t="shared" si="167"/>
        <v>262</v>
      </c>
      <c r="M169" s="173">
        <f>IF($D169="","",'Total &amp; Budget Targets'!$G$44)</f>
        <v>0</v>
      </c>
      <c r="N169" s="173">
        <f>IF($D169="","",'Total &amp; Budget Targets'!$G$63)</f>
        <v>0</v>
      </c>
      <c r="O169" s="173">
        <f>IF($D169="","",'Total &amp; Budget Targets'!$G$69)</f>
        <v>0</v>
      </c>
    </row>
    <row r="170" spans="1:15" ht="15.75" customHeight="1" x14ac:dyDescent="0.2">
      <c r="A170" s="165">
        <f t="shared" si="3"/>
        <v>166</v>
      </c>
      <c r="B170" s="172"/>
      <c r="C170" s="169">
        <f>IF(D169="","",IF(D169+1&gt;'Date Info'!$D$21,"",D169+1))</f>
        <v>50710</v>
      </c>
      <c r="D170" s="172">
        <f>IFERROR(IF(C170="","",IF(EOMONTH(C170,0)&gt;'Date Info'!$D$21,'Date Info'!$D$21,EOMONTH(C170,0))),"")</f>
        <v>50739</v>
      </c>
      <c r="E170" s="173">
        <f>IF($D170="","",IFERROR(SUMIFS(Expenses!$E:$E,Expenses!$B:$B,"&gt;="&amp;$C170,Expenses!$B:$B,"&lt;="&amp;$D170),"na"))</f>
        <v>0</v>
      </c>
      <c r="F170" s="173">
        <f>IF($D170="","",IFERROR(SUMIFS(Income!$D:$D,Income!$B:$B,"&gt;="&amp;$C170,Income!$B:$B,"&lt;="&amp;$D170),"na"))</f>
        <v>0</v>
      </c>
      <c r="G170" s="173">
        <f t="shared" si="0"/>
        <v>0</v>
      </c>
      <c r="H170" s="174" t="str">
        <f t="shared" si="1"/>
        <v>na</v>
      </c>
      <c r="I170" s="174" t="str">
        <f t="shared" si="2"/>
        <v>na</v>
      </c>
      <c r="J170" s="173">
        <f t="shared" ref="J170:L170" si="168">IF(E170="","",J$5)</f>
        <v>38</v>
      </c>
      <c r="K170" s="173">
        <f t="shared" si="168"/>
        <v>300</v>
      </c>
      <c r="L170" s="173">
        <f t="shared" si="168"/>
        <v>262</v>
      </c>
      <c r="M170" s="173">
        <f>IF($D170="","",'Total &amp; Budget Targets'!$G$44)</f>
        <v>0</v>
      </c>
      <c r="N170" s="173">
        <f>IF($D170="","",'Total &amp; Budget Targets'!$G$63)</f>
        <v>0</v>
      </c>
      <c r="O170" s="173">
        <f>IF($D170="","",'Total &amp; Budget Targets'!$G$69)</f>
        <v>0</v>
      </c>
    </row>
    <row r="171" spans="1:15" ht="15.75" customHeight="1" x14ac:dyDescent="0.2">
      <c r="A171" s="165">
        <f t="shared" si="3"/>
        <v>167</v>
      </c>
      <c r="B171" s="172"/>
      <c r="C171" s="169">
        <f>IF(D170="","",IF(D170+1&gt;'Date Info'!$D$21,"",D170+1))</f>
        <v>50740</v>
      </c>
      <c r="D171" s="172">
        <f>IFERROR(IF(C171="","",IF(EOMONTH(C171,0)&gt;'Date Info'!$D$21,'Date Info'!$D$21,EOMONTH(C171,0))),"")</f>
        <v>50770</v>
      </c>
      <c r="E171" s="173">
        <f>IF($D171="","",IFERROR(SUMIFS(Expenses!$E:$E,Expenses!$B:$B,"&gt;="&amp;$C171,Expenses!$B:$B,"&lt;="&amp;$D171),"na"))</f>
        <v>0</v>
      </c>
      <c r="F171" s="173">
        <f>IF($D171="","",IFERROR(SUMIFS(Income!$D:$D,Income!$B:$B,"&gt;="&amp;$C171,Income!$B:$B,"&lt;="&amp;$D171),"na"))</f>
        <v>0</v>
      </c>
      <c r="G171" s="173">
        <f t="shared" si="0"/>
        <v>0</v>
      </c>
      <c r="H171" s="174" t="str">
        <f t="shared" si="1"/>
        <v>na</v>
      </c>
      <c r="I171" s="174" t="str">
        <f t="shared" si="2"/>
        <v>na</v>
      </c>
      <c r="J171" s="173">
        <f t="shared" ref="J171:L171" si="169">IF(E171="","",J$5)</f>
        <v>38</v>
      </c>
      <c r="K171" s="173">
        <f t="shared" si="169"/>
        <v>300</v>
      </c>
      <c r="L171" s="173">
        <f t="shared" si="169"/>
        <v>262</v>
      </c>
      <c r="M171" s="173">
        <f>IF($D171="","",'Total &amp; Budget Targets'!$G$44)</f>
        <v>0</v>
      </c>
      <c r="N171" s="173">
        <f>IF($D171="","",'Total &amp; Budget Targets'!$G$63)</f>
        <v>0</v>
      </c>
      <c r="O171" s="173">
        <f>IF($D171="","",'Total &amp; Budget Targets'!$G$69)</f>
        <v>0</v>
      </c>
    </row>
    <row r="172" spans="1:15" ht="15.75" customHeight="1" x14ac:dyDescent="0.2">
      <c r="A172" s="165">
        <f t="shared" si="3"/>
        <v>168</v>
      </c>
      <c r="B172" s="172"/>
      <c r="C172" s="169">
        <f>IF(D171="","",IF(D171+1&gt;'Date Info'!$D$21,"",D171+1))</f>
        <v>50771</v>
      </c>
      <c r="D172" s="172">
        <f>IFERROR(IF(C172="","",IF(EOMONTH(C172,0)&gt;'Date Info'!$D$21,'Date Info'!$D$21,EOMONTH(C172,0))),"")</f>
        <v>50801</v>
      </c>
      <c r="E172" s="173">
        <f>IF($D172="","",IFERROR(SUMIFS(Expenses!$E:$E,Expenses!$B:$B,"&gt;="&amp;$C172,Expenses!$B:$B,"&lt;="&amp;$D172),"na"))</f>
        <v>0</v>
      </c>
      <c r="F172" s="173">
        <f>IF($D172="","",IFERROR(SUMIFS(Income!$D:$D,Income!$B:$B,"&gt;="&amp;$C172,Income!$B:$B,"&lt;="&amp;$D172),"na"))</f>
        <v>0</v>
      </c>
      <c r="G172" s="173">
        <f t="shared" si="0"/>
        <v>0</v>
      </c>
      <c r="H172" s="174" t="str">
        <f t="shared" si="1"/>
        <v>na</v>
      </c>
      <c r="I172" s="174" t="str">
        <f t="shared" si="2"/>
        <v>na</v>
      </c>
      <c r="J172" s="173">
        <f t="shared" ref="J172:L172" si="170">IF(E172="","",J$5)</f>
        <v>38</v>
      </c>
      <c r="K172" s="173">
        <f t="shared" si="170"/>
        <v>300</v>
      </c>
      <c r="L172" s="173">
        <f t="shared" si="170"/>
        <v>262</v>
      </c>
      <c r="M172" s="173">
        <f>IF($D172="","",'Total &amp; Budget Targets'!$G$44)</f>
        <v>0</v>
      </c>
      <c r="N172" s="173">
        <f>IF($D172="","",'Total &amp; Budget Targets'!$G$63)</f>
        <v>0</v>
      </c>
      <c r="O172" s="173">
        <f>IF($D172="","",'Total &amp; Budget Targets'!$G$69)</f>
        <v>0</v>
      </c>
    </row>
    <row r="173" spans="1:15" ht="15.75" customHeight="1" x14ac:dyDescent="0.2">
      <c r="A173" s="165">
        <f t="shared" si="3"/>
        <v>169</v>
      </c>
      <c r="B173" s="172"/>
      <c r="C173" s="169">
        <f>IF(D172="","",IF(D172+1&gt;'Date Info'!$D$21,"",D172+1))</f>
        <v>50802</v>
      </c>
      <c r="D173" s="172">
        <f>IFERROR(IF(C173="","",IF(EOMONTH(C173,0)&gt;'Date Info'!$D$21,'Date Info'!$D$21,EOMONTH(C173,0))),"")</f>
        <v>50829</v>
      </c>
      <c r="E173" s="173">
        <f>IF($D173="","",IFERROR(SUMIFS(Expenses!$E:$E,Expenses!$B:$B,"&gt;="&amp;$C173,Expenses!$B:$B,"&lt;="&amp;$D173),"na"))</f>
        <v>0</v>
      </c>
      <c r="F173" s="173">
        <f>IF($D173="","",IFERROR(SUMIFS(Income!$D:$D,Income!$B:$B,"&gt;="&amp;$C173,Income!$B:$B,"&lt;="&amp;$D173),"na"))</f>
        <v>0</v>
      </c>
      <c r="G173" s="173">
        <f t="shared" si="0"/>
        <v>0</v>
      </c>
      <c r="H173" s="174" t="str">
        <f t="shared" si="1"/>
        <v>na</v>
      </c>
      <c r="I173" s="174" t="str">
        <f t="shared" si="2"/>
        <v>na</v>
      </c>
      <c r="J173" s="173">
        <f t="shared" ref="J173:L173" si="171">IF(E173="","",J$5)</f>
        <v>38</v>
      </c>
      <c r="K173" s="173">
        <f t="shared" si="171"/>
        <v>300</v>
      </c>
      <c r="L173" s="173">
        <f t="shared" si="171"/>
        <v>262</v>
      </c>
      <c r="M173" s="173">
        <f>IF($D173="","",'Total &amp; Budget Targets'!$G$44)</f>
        <v>0</v>
      </c>
      <c r="N173" s="173">
        <f>IF($D173="","",'Total &amp; Budget Targets'!$G$63)</f>
        <v>0</v>
      </c>
      <c r="O173" s="173">
        <f>IF($D173="","",'Total &amp; Budget Targets'!$G$69)</f>
        <v>0</v>
      </c>
    </row>
    <row r="174" spans="1:15" ht="15.75" customHeight="1" x14ac:dyDescent="0.2">
      <c r="A174" s="165">
        <f t="shared" si="3"/>
        <v>170</v>
      </c>
      <c r="B174" s="172"/>
      <c r="C174" s="169">
        <f>IF(D173="","",IF(D173+1&gt;'Date Info'!$D$21,"",D173+1))</f>
        <v>50830</v>
      </c>
      <c r="D174" s="172">
        <f>IFERROR(IF(C174="","",IF(EOMONTH(C174,0)&gt;'Date Info'!$D$21,'Date Info'!$D$21,EOMONTH(C174,0))),"")</f>
        <v>50860</v>
      </c>
      <c r="E174" s="173">
        <f>IF($D174="","",IFERROR(SUMIFS(Expenses!$E:$E,Expenses!$B:$B,"&gt;="&amp;$C174,Expenses!$B:$B,"&lt;="&amp;$D174),"na"))</f>
        <v>0</v>
      </c>
      <c r="F174" s="173">
        <f>IF($D174="","",IFERROR(SUMIFS(Income!$D:$D,Income!$B:$B,"&gt;="&amp;$C174,Income!$B:$B,"&lt;="&amp;$D174),"na"))</f>
        <v>0</v>
      </c>
      <c r="G174" s="173">
        <f t="shared" si="0"/>
        <v>0</v>
      </c>
      <c r="H174" s="174" t="str">
        <f t="shared" si="1"/>
        <v>na</v>
      </c>
      <c r="I174" s="174" t="str">
        <f t="shared" si="2"/>
        <v>na</v>
      </c>
      <c r="J174" s="173">
        <f t="shared" ref="J174:L174" si="172">IF(E174="","",J$5)</f>
        <v>38</v>
      </c>
      <c r="K174" s="173">
        <f t="shared" si="172"/>
        <v>300</v>
      </c>
      <c r="L174" s="173">
        <f t="shared" si="172"/>
        <v>262</v>
      </c>
      <c r="M174" s="173">
        <f>IF($D174="","",'Total &amp; Budget Targets'!$G$44)</f>
        <v>0</v>
      </c>
      <c r="N174" s="173">
        <f>IF($D174="","",'Total &amp; Budget Targets'!$G$63)</f>
        <v>0</v>
      </c>
      <c r="O174" s="173">
        <f>IF($D174="","",'Total &amp; Budget Targets'!$G$69)</f>
        <v>0</v>
      </c>
    </row>
    <row r="175" spans="1:15" ht="15.75" customHeight="1" x14ac:dyDescent="0.2">
      <c r="A175" s="165">
        <f t="shared" si="3"/>
        <v>171</v>
      </c>
      <c r="B175" s="172"/>
      <c r="C175" s="169">
        <f>IF(D174="","",IF(D174+1&gt;'Date Info'!$D$21,"",D174+1))</f>
        <v>50861</v>
      </c>
      <c r="D175" s="172">
        <f>IFERROR(IF(C175="","",IF(EOMONTH(C175,0)&gt;'Date Info'!$D$21,'Date Info'!$D$21,EOMONTH(C175,0))),"")</f>
        <v>50890</v>
      </c>
      <c r="E175" s="173">
        <f>IF($D175="","",IFERROR(SUMIFS(Expenses!$E:$E,Expenses!$B:$B,"&gt;="&amp;$C175,Expenses!$B:$B,"&lt;="&amp;$D175),"na"))</f>
        <v>0</v>
      </c>
      <c r="F175" s="173">
        <f>IF($D175="","",IFERROR(SUMIFS(Income!$D:$D,Income!$B:$B,"&gt;="&amp;$C175,Income!$B:$B,"&lt;="&amp;$D175),"na"))</f>
        <v>0</v>
      </c>
      <c r="G175" s="173">
        <f t="shared" si="0"/>
        <v>0</v>
      </c>
      <c r="H175" s="174" t="str">
        <f t="shared" si="1"/>
        <v>na</v>
      </c>
      <c r="I175" s="174" t="str">
        <f t="shared" si="2"/>
        <v>na</v>
      </c>
      <c r="J175" s="173">
        <f t="shared" ref="J175:L175" si="173">IF(E175="","",J$5)</f>
        <v>38</v>
      </c>
      <c r="K175" s="173">
        <f t="shared" si="173"/>
        <v>300</v>
      </c>
      <c r="L175" s="173">
        <f t="shared" si="173"/>
        <v>262</v>
      </c>
      <c r="M175" s="173">
        <f>IF($D175="","",'Total &amp; Budget Targets'!$G$44)</f>
        <v>0</v>
      </c>
      <c r="N175" s="173">
        <f>IF($D175="","",'Total &amp; Budget Targets'!$G$63)</f>
        <v>0</v>
      </c>
      <c r="O175" s="173">
        <f>IF($D175="","",'Total &amp; Budget Targets'!$G$69)</f>
        <v>0</v>
      </c>
    </row>
    <row r="176" spans="1:15" ht="15.75" customHeight="1" x14ac:dyDescent="0.2">
      <c r="A176" s="165">
        <f t="shared" si="3"/>
        <v>172</v>
      </c>
      <c r="B176" s="172"/>
      <c r="C176" s="169">
        <f>IF(D175="","",IF(D175+1&gt;'Date Info'!$D$21,"",D175+1))</f>
        <v>50891</v>
      </c>
      <c r="D176" s="172">
        <f>IFERROR(IF(C176="","",IF(EOMONTH(C176,0)&gt;'Date Info'!$D$21,'Date Info'!$D$21,EOMONTH(C176,0))),"")</f>
        <v>50921</v>
      </c>
      <c r="E176" s="173">
        <f>IF($D176="","",IFERROR(SUMIFS(Expenses!$E:$E,Expenses!$B:$B,"&gt;="&amp;$C176,Expenses!$B:$B,"&lt;="&amp;$D176),"na"))</f>
        <v>0</v>
      </c>
      <c r="F176" s="173">
        <f>IF($D176="","",IFERROR(SUMIFS(Income!$D:$D,Income!$B:$B,"&gt;="&amp;$C176,Income!$B:$B,"&lt;="&amp;$D176),"na"))</f>
        <v>0</v>
      </c>
      <c r="G176" s="173">
        <f t="shared" si="0"/>
        <v>0</v>
      </c>
      <c r="H176" s="174" t="str">
        <f t="shared" si="1"/>
        <v>na</v>
      </c>
      <c r="I176" s="174" t="str">
        <f t="shared" si="2"/>
        <v>na</v>
      </c>
      <c r="J176" s="173">
        <f t="shared" ref="J176:L176" si="174">IF(E176="","",J$5)</f>
        <v>38</v>
      </c>
      <c r="K176" s="173">
        <f t="shared" si="174"/>
        <v>300</v>
      </c>
      <c r="L176" s="173">
        <f t="shared" si="174"/>
        <v>262</v>
      </c>
      <c r="M176" s="173">
        <f>IF($D176="","",'Total &amp; Budget Targets'!$G$44)</f>
        <v>0</v>
      </c>
      <c r="N176" s="173">
        <f>IF($D176="","",'Total &amp; Budget Targets'!$G$63)</f>
        <v>0</v>
      </c>
      <c r="O176" s="173">
        <f>IF($D176="","",'Total &amp; Budget Targets'!$G$69)</f>
        <v>0</v>
      </c>
    </row>
    <row r="177" spans="1:15" ht="15.75" customHeight="1" x14ac:dyDescent="0.2">
      <c r="A177" s="165">
        <f t="shared" si="3"/>
        <v>173</v>
      </c>
      <c r="B177" s="172"/>
      <c r="C177" s="169">
        <f>IF(D176="","",IF(D176+1&gt;'Date Info'!$D$21,"",D176+1))</f>
        <v>50922</v>
      </c>
      <c r="D177" s="172">
        <f>IFERROR(IF(C177="","",IF(EOMONTH(C177,0)&gt;'Date Info'!$D$21,'Date Info'!$D$21,EOMONTH(C177,0))),"")</f>
        <v>50951</v>
      </c>
      <c r="E177" s="173">
        <f>IF($D177="","",IFERROR(SUMIFS(Expenses!$E:$E,Expenses!$B:$B,"&gt;="&amp;$C177,Expenses!$B:$B,"&lt;="&amp;$D177),"na"))</f>
        <v>0</v>
      </c>
      <c r="F177" s="173">
        <f>IF($D177="","",IFERROR(SUMIFS(Income!$D:$D,Income!$B:$B,"&gt;="&amp;$C177,Income!$B:$B,"&lt;="&amp;$D177),"na"))</f>
        <v>0</v>
      </c>
      <c r="G177" s="173">
        <f t="shared" si="0"/>
        <v>0</v>
      </c>
      <c r="H177" s="174" t="str">
        <f t="shared" si="1"/>
        <v>na</v>
      </c>
      <c r="I177" s="174" t="str">
        <f t="shared" si="2"/>
        <v>na</v>
      </c>
      <c r="J177" s="173">
        <f t="shared" ref="J177:L177" si="175">IF(E177="","",J$5)</f>
        <v>38</v>
      </c>
      <c r="K177" s="173">
        <f t="shared" si="175"/>
        <v>300</v>
      </c>
      <c r="L177" s="173">
        <f t="shared" si="175"/>
        <v>262</v>
      </c>
      <c r="M177" s="173">
        <f>IF($D177="","",'Total &amp; Budget Targets'!$G$44)</f>
        <v>0</v>
      </c>
      <c r="N177" s="173">
        <f>IF($D177="","",'Total &amp; Budget Targets'!$G$63)</f>
        <v>0</v>
      </c>
      <c r="O177" s="173">
        <f>IF($D177="","",'Total &amp; Budget Targets'!$G$69)</f>
        <v>0</v>
      </c>
    </row>
    <row r="178" spans="1:15" ht="15.75" customHeight="1" x14ac:dyDescent="0.2">
      <c r="A178" s="165">
        <f t="shared" si="3"/>
        <v>174</v>
      </c>
      <c r="B178" s="172"/>
      <c r="C178" s="169">
        <f>IF(D177="","",IF(D177+1&gt;'Date Info'!$D$21,"",D177+1))</f>
        <v>50952</v>
      </c>
      <c r="D178" s="172">
        <f>IFERROR(IF(C178="","",IF(EOMONTH(C178,0)&gt;'Date Info'!$D$21,'Date Info'!$D$21,EOMONTH(C178,0))),"")</f>
        <v>50982</v>
      </c>
      <c r="E178" s="173">
        <f>IF($D178="","",IFERROR(SUMIFS(Expenses!$E:$E,Expenses!$B:$B,"&gt;="&amp;$C178,Expenses!$B:$B,"&lt;="&amp;$D178),"na"))</f>
        <v>0</v>
      </c>
      <c r="F178" s="173">
        <f>IF($D178="","",IFERROR(SUMIFS(Income!$D:$D,Income!$B:$B,"&gt;="&amp;$C178,Income!$B:$B,"&lt;="&amp;$D178),"na"))</f>
        <v>0</v>
      </c>
      <c r="G178" s="173">
        <f t="shared" si="0"/>
        <v>0</v>
      </c>
      <c r="H178" s="174" t="str">
        <f t="shared" si="1"/>
        <v>na</v>
      </c>
      <c r="I178" s="174" t="str">
        <f t="shared" si="2"/>
        <v>na</v>
      </c>
      <c r="J178" s="173">
        <f t="shared" ref="J178:L178" si="176">IF(E178="","",J$5)</f>
        <v>38</v>
      </c>
      <c r="K178" s="173">
        <f t="shared" si="176"/>
        <v>300</v>
      </c>
      <c r="L178" s="173">
        <f t="shared" si="176"/>
        <v>262</v>
      </c>
      <c r="M178" s="173">
        <f>IF($D178="","",'Total &amp; Budget Targets'!$G$44)</f>
        <v>0</v>
      </c>
      <c r="N178" s="173">
        <f>IF($D178="","",'Total &amp; Budget Targets'!$G$63)</f>
        <v>0</v>
      </c>
      <c r="O178" s="173">
        <f>IF($D178="","",'Total &amp; Budget Targets'!$G$69)</f>
        <v>0</v>
      </c>
    </row>
    <row r="179" spans="1:15" ht="15.75" customHeight="1" x14ac:dyDescent="0.2">
      <c r="A179" s="165">
        <f t="shared" si="3"/>
        <v>175</v>
      </c>
      <c r="B179" s="172"/>
      <c r="C179" s="169">
        <f>IF(D178="","",IF(D178+1&gt;'Date Info'!$D$21,"",D178+1))</f>
        <v>50983</v>
      </c>
      <c r="D179" s="172">
        <f>IFERROR(IF(C179="","",IF(EOMONTH(C179,0)&gt;'Date Info'!$D$21,'Date Info'!$D$21,EOMONTH(C179,0))),"")</f>
        <v>51013</v>
      </c>
      <c r="E179" s="173">
        <f>IF($D179="","",IFERROR(SUMIFS(Expenses!$E:$E,Expenses!$B:$B,"&gt;="&amp;$C179,Expenses!$B:$B,"&lt;="&amp;$D179),"na"))</f>
        <v>0</v>
      </c>
      <c r="F179" s="173">
        <f>IF($D179="","",IFERROR(SUMIFS(Income!$D:$D,Income!$B:$B,"&gt;="&amp;$C179,Income!$B:$B,"&lt;="&amp;$D179),"na"))</f>
        <v>0</v>
      </c>
      <c r="G179" s="173">
        <f t="shared" si="0"/>
        <v>0</v>
      </c>
      <c r="H179" s="174" t="str">
        <f t="shared" si="1"/>
        <v>na</v>
      </c>
      <c r="I179" s="174" t="str">
        <f t="shared" si="2"/>
        <v>na</v>
      </c>
      <c r="J179" s="173">
        <f t="shared" ref="J179:L179" si="177">IF(E179="","",J$5)</f>
        <v>38</v>
      </c>
      <c r="K179" s="173">
        <f t="shared" si="177"/>
        <v>300</v>
      </c>
      <c r="L179" s="173">
        <f t="shared" si="177"/>
        <v>262</v>
      </c>
      <c r="M179" s="173">
        <f>IF($D179="","",'Total &amp; Budget Targets'!$G$44)</f>
        <v>0</v>
      </c>
      <c r="N179" s="173">
        <f>IF($D179="","",'Total &amp; Budget Targets'!$G$63)</f>
        <v>0</v>
      </c>
      <c r="O179" s="173">
        <f>IF($D179="","",'Total &amp; Budget Targets'!$G$69)</f>
        <v>0</v>
      </c>
    </row>
    <row r="180" spans="1:15" ht="15.75" customHeight="1" x14ac:dyDescent="0.2">
      <c r="A180" s="165">
        <f t="shared" si="3"/>
        <v>176</v>
      </c>
      <c r="B180" s="172"/>
      <c r="C180" s="169">
        <f>IF(D179="","",IF(D179+1&gt;'Date Info'!$D$21,"",D179+1))</f>
        <v>51014</v>
      </c>
      <c r="D180" s="172">
        <f>IFERROR(IF(C180="","",IF(EOMONTH(C180,0)&gt;'Date Info'!$D$21,'Date Info'!$D$21,EOMONTH(C180,0))),"")</f>
        <v>51043</v>
      </c>
      <c r="E180" s="173">
        <f>IF($D180="","",IFERROR(SUMIFS(Expenses!$E:$E,Expenses!$B:$B,"&gt;="&amp;$C180,Expenses!$B:$B,"&lt;="&amp;$D180),"na"))</f>
        <v>0</v>
      </c>
      <c r="F180" s="173">
        <f>IF($D180="","",IFERROR(SUMIFS(Income!$D:$D,Income!$B:$B,"&gt;="&amp;$C180,Income!$B:$B,"&lt;="&amp;$D180),"na"))</f>
        <v>0</v>
      </c>
      <c r="G180" s="173">
        <f t="shared" si="0"/>
        <v>0</v>
      </c>
      <c r="H180" s="174" t="str">
        <f t="shared" si="1"/>
        <v>na</v>
      </c>
      <c r="I180" s="174" t="str">
        <f t="shared" si="2"/>
        <v>na</v>
      </c>
      <c r="J180" s="173">
        <f t="shared" ref="J180:L180" si="178">IF(E180="","",J$5)</f>
        <v>38</v>
      </c>
      <c r="K180" s="173">
        <f t="shared" si="178"/>
        <v>300</v>
      </c>
      <c r="L180" s="173">
        <f t="shared" si="178"/>
        <v>262</v>
      </c>
      <c r="M180" s="173">
        <f>IF($D180="","",'Total &amp; Budget Targets'!$G$44)</f>
        <v>0</v>
      </c>
      <c r="N180" s="173">
        <f>IF($D180="","",'Total &amp; Budget Targets'!$G$63)</f>
        <v>0</v>
      </c>
      <c r="O180" s="173">
        <f>IF($D180="","",'Total &amp; Budget Targets'!$G$69)</f>
        <v>0</v>
      </c>
    </row>
    <row r="181" spans="1:15" ht="15.75" customHeight="1" x14ac:dyDescent="0.2">
      <c r="A181" s="165">
        <f t="shared" si="3"/>
        <v>177</v>
      </c>
      <c r="B181" s="172"/>
      <c r="C181" s="169">
        <f>IF(D180="","",IF(D180+1&gt;'Date Info'!$D$21,"",D180+1))</f>
        <v>51044</v>
      </c>
      <c r="D181" s="172">
        <f>IFERROR(IF(C181="","",IF(EOMONTH(C181,0)&gt;'Date Info'!$D$21,'Date Info'!$D$21,EOMONTH(C181,0))),"")</f>
        <v>51074</v>
      </c>
      <c r="E181" s="173">
        <f>IF($D181="","",IFERROR(SUMIFS(Expenses!$E:$E,Expenses!$B:$B,"&gt;="&amp;$C181,Expenses!$B:$B,"&lt;="&amp;$D181),"na"))</f>
        <v>0</v>
      </c>
      <c r="F181" s="173">
        <f>IF($D181="","",IFERROR(SUMIFS(Income!$D:$D,Income!$B:$B,"&gt;="&amp;$C181,Income!$B:$B,"&lt;="&amp;$D181),"na"))</f>
        <v>0</v>
      </c>
      <c r="G181" s="173">
        <f t="shared" si="0"/>
        <v>0</v>
      </c>
      <c r="H181" s="174" t="str">
        <f t="shared" si="1"/>
        <v>na</v>
      </c>
      <c r="I181" s="174" t="str">
        <f t="shared" si="2"/>
        <v>na</v>
      </c>
      <c r="J181" s="173">
        <f t="shared" ref="J181:L181" si="179">IF(E181="","",J$5)</f>
        <v>38</v>
      </c>
      <c r="K181" s="173">
        <f t="shared" si="179"/>
        <v>300</v>
      </c>
      <c r="L181" s="173">
        <f t="shared" si="179"/>
        <v>262</v>
      </c>
      <c r="M181" s="173">
        <f>IF($D181="","",'Total &amp; Budget Targets'!$G$44)</f>
        <v>0</v>
      </c>
      <c r="N181" s="173">
        <f>IF($D181="","",'Total &amp; Budget Targets'!$G$63)</f>
        <v>0</v>
      </c>
      <c r="O181" s="173">
        <f>IF($D181="","",'Total &amp; Budget Targets'!$G$69)</f>
        <v>0</v>
      </c>
    </row>
    <row r="182" spans="1:15" ht="15.75" customHeight="1" x14ac:dyDescent="0.2">
      <c r="A182" s="165">
        <f t="shared" si="3"/>
        <v>178</v>
      </c>
      <c r="B182" s="172"/>
      <c r="C182" s="169">
        <f>IF(D181="","",IF(D181+1&gt;'Date Info'!$D$21,"",D181+1))</f>
        <v>51075</v>
      </c>
      <c r="D182" s="172">
        <f>IFERROR(IF(C182="","",IF(EOMONTH(C182,0)&gt;'Date Info'!$D$21,'Date Info'!$D$21,EOMONTH(C182,0))),"")</f>
        <v>51104</v>
      </c>
      <c r="E182" s="173">
        <f>IF($D182="","",IFERROR(SUMIFS(Expenses!$E:$E,Expenses!$B:$B,"&gt;="&amp;$C182,Expenses!$B:$B,"&lt;="&amp;$D182),"na"))</f>
        <v>0</v>
      </c>
      <c r="F182" s="173">
        <f>IF($D182="","",IFERROR(SUMIFS(Income!$D:$D,Income!$B:$B,"&gt;="&amp;$C182,Income!$B:$B,"&lt;="&amp;$D182),"na"))</f>
        <v>0</v>
      </c>
      <c r="G182" s="173">
        <f t="shared" si="0"/>
        <v>0</v>
      </c>
      <c r="H182" s="174" t="str">
        <f t="shared" si="1"/>
        <v>na</v>
      </c>
      <c r="I182" s="174" t="str">
        <f t="shared" si="2"/>
        <v>na</v>
      </c>
      <c r="J182" s="173">
        <f t="shared" ref="J182:L182" si="180">IF(E182="","",J$5)</f>
        <v>38</v>
      </c>
      <c r="K182" s="173">
        <f t="shared" si="180"/>
        <v>300</v>
      </c>
      <c r="L182" s="173">
        <f t="shared" si="180"/>
        <v>262</v>
      </c>
      <c r="M182" s="173">
        <f>IF($D182="","",'Total &amp; Budget Targets'!$G$44)</f>
        <v>0</v>
      </c>
      <c r="N182" s="173">
        <f>IF($D182="","",'Total &amp; Budget Targets'!$G$63)</f>
        <v>0</v>
      </c>
      <c r="O182" s="173">
        <f>IF($D182="","",'Total &amp; Budget Targets'!$G$69)</f>
        <v>0</v>
      </c>
    </row>
    <row r="183" spans="1:15" ht="15.75" customHeight="1" x14ac:dyDescent="0.2">
      <c r="A183" s="165">
        <f t="shared" si="3"/>
        <v>179</v>
      </c>
      <c r="B183" s="172"/>
      <c r="C183" s="169">
        <f>IF(D182="","",IF(D182+1&gt;'Date Info'!$D$21,"",D182+1))</f>
        <v>51105</v>
      </c>
      <c r="D183" s="172">
        <f>IFERROR(IF(C183="","",IF(EOMONTH(C183,0)&gt;'Date Info'!$D$21,'Date Info'!$D$21,EOMONTH(C183,0))),"")</f>
        <v>51135</v>
      </c>
      <c r="E183" s="173">
        <f>IF($D183="","",IFERROR(SUMIFS(Expenses!$E:$E,Expenses!$B:$B,"&gt;="&amp;$C183,Expenses!$B:$B,"&lt;="&amp;$D183),"na"))</f>
        <v>0</v>
      </c>
      <c r="F183" s="173">
        <f>IF($D183="","",IFERROR(SUMIFS(Income!$D:$D,Income!$B:$B,"&gt;="&amp;$C183,Income!$B:$B,"&lt;="&amp;$D183),"na"))</f>
        <v>0</v>
      </c>
      <c r="G183" s="173">
        <f t="shared" si="0"/>
        <v>0</v>
      </c>
      <c r="H183" s="174" t="str">
        <f t="shared" si="1"/>
        <v>na</v>
      </c>
      <c r="I183" s="174" t="str">
        <f t="shared" si="2"/>
        <v>na</v>
      </c>
      <c r="J183" s="173">
        <f t="shared" ref="J183:L183" si="181">IF(E183="","",J$5)</f>
        <v>38</v>
      </c>
      <c r="K183" s="173">
        <f t="shared" si="181"/>
        <v>300</v>
      </c>
      <c r="L183" s="173">
        <f t="shared" si="181"/>
        <v>262</v>
      </c>
      <c r="M183" s="173">
        <f>IF($D183="","",'Total &amp; Budget Targets'!$G$44)</f>
        <v>0</v>
      </c>
      <c r="N183" s="173">
        <f>IF($D183="","",'Total &amp; Budget Targets'!$G$63)</f>
        <v>0</v>
      </c>
      <c r="O183" s="173">
        <f>IF($D183="","",'Total &amp; Budget Targets'!$G$69)</f>
        <v>0</v>
      </c>
    </row>
    <row r="184" spans="1:15" ht="15.75" customHeight="1" x14ac:dyDescent="0.2">
      <c r="A184" s="165">
        <f t="shared" si="3"/>
        <v>180</v>
      </c>
      <c r="B184" s="172"/>
      <c r="C184" s="169">
        <f>IF(D183="","",IF(D183+1&gt;'Date Info'!$D$21,"",D183+1))</f>
        <v>51136</v>
      </c>
      <c r="D184" s="172">
        <f>IFERROR(IF(C184="","",IF(EOMONTH(C184,0)&gt;'Date Info'!$D$21,'Date Info'!$D$21,EOMONTH(C184,0))),"")</f>
        <v>51166</v>
      </c>
      <c r="E184" s="173">
        <f>IF($D184="","",IFERROR(SUMIFS(Expenses!$E:$E,Expenses!$B:$B,"&gt;="&amp;$C184,Expenses!$B:$B,"&lt;="&amp;$D184),"na"))</f>
        <v>0</v>
      </c>
      <c r="F184" s="173">
        <f>IF($D184="","",IFERROR(SUMIFS(Income!$D:$D,Income!$B:$B,"&gt;="&amp;$C184,Income!$B:$B,"&lt;="&amp;$D184),"na"))</f>
        <v>0</v>
      </c>
      <c r="G184" s="173">
        <f t="shared" si="0"/>
        <v>0</v>
      </c>
      <c r="H184" s="174" t="str">
        <f t="shared" si="1"/>
        <v>na</v>
      </c>
      <c r="I184" s="174" t="str">
        <f t="shared" si="2"/>
        <v>na</v>
      </c>
      <c r="J184" s="173">
        <f t="shared" ref="J184:L184" si="182">IF(E184="","",J$5)</f>
        <v>38</v>
      </c>
      <c r="K184" s="173">
        <f t="shared" si="182"/>
        <v>300</v>
      </c>
      <c r="L184" s="173">
        <f t="shared" si="182"/>
        <v>262</v>
      </c>
      <c r="M184" s="173">
        <f>IF($D184="","",'Total &amp; Budget Targets'!$G$44)</f>
        <v>0</v>
      </c>
      <c r="N184" s="173">
        <f>IF($D184="","",'Total &amp; Budget Targets'!$G$63)</f>
        <v>0</v>
      </c>
      <c r="O184" s="173">
        <f>IF($D184="","",'Total &amp; Budget Targets'!$G$69)</f>
        <v>0</v>
      </c>
    </row>
    <row r="185" spans="1:15" ht="15.75" customHeight="1" x14ac:dyDescent="0.2">
      <c r="A185" s="165">
        <f t="shared" si="3"/>
        <v>181</v>
      </c>
      <c r="B185" s="172"/>
      <c r="C185" s="169">
        <f>IF(D184="","",IF(D184+1&gt;'Date Info'!$D$21,"",D184+1))</f>
        <v>51167</v>
      </c>
      <c r="D185" s="172">
        <f>IFERROR(IF(C185="","",IF(EOMONTH(C185,0)&gt;'Date Info'!$D$21,'Date Info'!$D$21,EOMONTH(C185,0))),"")</f>
        <v>51195</v>
      </c>
      <c r="E185" s="173">
        <f>IF($D185="","",IFERROR(SUMIFS(Expenses!$E:$E,Expenses!$B:$B,"&gt;="&amp;$C185,Expenses!$B:$B,"&lt;="&amp;$D185),"na"))</f>
        <v>0</v>
      </c>
      <c r="F185" s="173">
        <f>IF($D185="","",IFERROR(SUMIFS(Income!$D:$D,Income!$B:$B,"&gt;="&amp;$C185,Income!$B:$B,"&lt;="&amp;$D185),"na"))</f>
        <v>0</v>
      </c>
      <c r="G185" s="173">
        <f t="shared" si="0"/>
        <v>0</v>
      </c>
      <c r="H185" s="174" t="str">
        <f t="shared" si="1"/>
        <v>na</v>
      </c>
      <c r="I185" s="174" t="str">
        <f t="shared" si="2"/>
        <v>na</v>
      </c>
      <c r="J185" s="173">
        <f t="shared" ref="J185:L185" si="183">IF(E185="","",J$5)</f>
        <v>38</v>
      </c>
      <c r="K185" s="173">
        <f t="shared" si="183"/>
        <v>300</v>
      </c>
      <c r="L185" s="173">
        <f t="shared" si="183"/>
        <v>262</v>
      </c>
      <c r="M185" s="173">
        <f>IF($D185="","",'Total &amp; Budget Targets'!$G$44)</f>
        <v>0</v>
      </c>
      <c r="N185" s="173">
        <f>IF($D185="","",'Total &amp; Budget Targets'!$G$63)</f>
        <v>0</v>
      </c>
      <c r="O185" s="173">
        <f>IF($D185="","",'Total &amp; Budget Targets'!$G$69)</f>
        <v>0</v>
      </c>
    </row>
    <row r="186" spans="1:15" ht="15.75" customHeight="1" x14ac:dyDescent="0.2">
      <c r="A186" s="165">
        <f t="shared" si="3"/>
        <v>182</v>
      </c>
      <c r="B186" s="172"/>
      <c r="C186" s="169">
        <f>IF(D185="","",IF(D185+1&gt;'Date Info'!$D$21,"",D185+1))</f>
        <v>51196</v>
      </c>
      <c r="D186" s="172">
        <f>IFERROR(IF(C186="","",IF(EOMONTH(C186,0)&gt;'Date Info'!$D$21,'Date Info'!$D$21,EOMONTH(C186,0))),"")</f>
        <v>51226</v>
      </c>
      <c r="E186" s="173">
        <f>IF($D186="","",IFERROR(SUMIFS(Expenses!$E:$E,Expenses!$B:$B,"&gt;="&amp;$C186,Expenses!$B:$B,"&lt;="&amp;$D186),"na"))</f>
        <v>0</v>
      </c>
      <c r="F186" s="173">
        <f>IF($D186="","",IFERROR(SUMIFS(Income!$D:$D,Income!$B:$B,"&gt;="&amp;$C186,Income!$B:$B,"&lt;="&amp;$D186),"na"))</f>
        <v>0</v>
      </c>
      <c r="G186" s="173">
        <f t="shared" si="0"/>
        <v>0</v>
      </c>
      <c r="H186" s="174" t="str">
        <f t="shared" si="1"/>
        <v>na</v>
      </c>
      <c r="I186" s="174" t="str">
        <f t="shared" si="2"/>
        <v>na</v>
      </c>
      <c r="J186" s="173">
        <f t="shared" ref="J186:L186" si="184">IF(E186="","",J$5)</f>
        <v>38</v>
      </c>
      <c r="K186" s="173">
        <f t="shared" si="184"/>
        <v>300</v>
      </c>
      <c r="L186" s="173">
        <f t="shared" si="184"/>
        <v>262</v>
      </c>
      <c r="M186" s="173">
        <f>IF($D186="","",'Total &amp; Budget Targets'!$G$44)</f>
        <v>0</v>
      </c>
      <c r="N186" s="173">
        <f>IF($D186="","",'Total &amp; Budget Targets'!$G$63)</f>
        <v>0</v>
      </c>
      <c r="O186" s="173">
        <f>IF($D186="","",'Total &amp; Budget Targets'!$G$69)</f>
        <v>0</v>
      </c>
    </row>
    <row r="187" spans="1:15" ht="15.75" customHeight="1" x14ac:dyDescent="0.2">
      <c r="A187" s="165">
        <f t="shared" si="3"/>
        <v>183</v>
      </c>
      <c r="B187" s="172"/>
      <c r="C187" s="169">
        <f>IF(D186="","",IF(D186+1&gt;'Date Info'!$D$21,"",D186+1))</f>
        <v>51227</v>
      </c>
      <c r="D187" s="172">
        <f>IFERROR(IF(C187="","",IF(EOMONTH(C187,0)&gt;'Date Info'!$D$21,'Date Info'!$D$21,EOMONTH(C187,0))),"")</f>
        <v>51256</v>
      </c>
      <c r="E187" s="173">
        <f>IF($D187="","",IFERROR(SUMIFS(Expenses!$E:$E,Expenses!$B:$B,"&gt;="&amp;$C187,Expenses!$B:$B,"&lt;="&amp;$D187),"na"))</f>
        <v>0</v>
      </c>
      <c r="F187" s="173">
        <f>IF($D187="","",IFERROR(SUMIFS(Income!$D:$D,Income!$B:$B,"&gt;="&amp;$C187,Income!$B:$B,"&lt;="&amp;$D187),"na"))</f>
        <v>0</v>
      </c>
      <c r="G187" s="173">
        <f t="shared" si="0"/>
        <v>0</v>
      </c>
      <c r="H187" s="174" t="str">
        <f t="shared" si="1"/>
        <v>na</v>
      </c>
      <c r="I187" s="174" t="str">
        <f t="shared" si="2"/>
        <v>na</v>
      </c>
      <c r="J187" s="173">
        <f t="shared" ref="J187:L187" si="185">IF(E187="","",J$5)</f>
        <v>38</v>
      </c>
      <c r="K187" s="173">
        <f t="shared" si="185"/>
        <v>300</v>
      </c>
      <c r="L187" s="173">
        <f t="shared" si="185"/>
        <v>262</v>
      </c>
      <c r="M187" s="173">
        <f>IF($D187="","",'Total &amp; Budget Targets'!$G$44)</f>
        <v>0</v>
      </c>
      <c r="N187" s="173">
        <f>IF($D187="","",'Total &amp; Budget Targets'!$G$63)</f>
        <v>0</v>
      </c>
      <c r="O187" s="173">
        <f>IF($D187="","",'Total &amp; Budget Targets'!$G$69)</f>
        <v>0</v>
      </c>
    </row>
    <row r="188" spans="1:15" ht="15.75" customHeight="1" x14ac:dyDescent="0.2">
      <c r="A188" s="165">
        <f t="shared" si="3"/>
        <v>184</v>
      </c>
      <c r="B188" s="172"/>
      <c r="C188" s="169">
        <f>IF(D187="","",IF(D187+1&gt;'Date Info'!$D$21,"",D187+1))</f>
        <v>51257</v>
      </c>
      <c r="D188" s="172">
        <f>IFERROR(IF(C188="","",IF(EOMONTH(C188,0)&gt;'Date Info'!$D$21,'Date Info'!$D$21,EOMONTH(C188,0))),"")</f>
        <v>51287</v>
      </c>
      <c r="E188" s="173">
        <f>IF($D188="","",IFERROR(SUMIFS(Expenses!$E:$E,Expenses!$B:$B,"&gt;="&amp;$C188,Expenses!$B:$B,"&lt;="&amp;$D188),"na"))</f>
        <v>0</v>
      </c>
      <c r="F188" s="173">
        <f>IF($D188="","",IFERROR(SUMIFS(Income!$D:$D,Income!$B:$B,"&gt;="&amp;$C188,Income!$B:$B,"&lt;="&amp;$D188),"na"))</f>
        <v>0</v>
      </c>
      <c r="G188" s="173">
        <f t="shared" si="0"/>
        <v>0</v>
      </c>
      <c r="H188" s="174" t="str">
        <f t="shared" si="1"/>
        <v>na</v>
      </c>
      <c r="I188" s="174" t="str">
        <f t="shared" si="2"/>
        <v>na</v>
      </c>
      <c r="J188" s="173">
        <f t="shared" ref="J188:L188" si="186">IF(E188="","",J$5)</f>
        <v>38</v>
      </c>
      <c r="K188" s="173">
        <f t="shared" si="186"/>
        <v>300</v>
      </c>
      <c r="L188" s="173">
        <f t="shared" si="186"/>
        <v>262</v>
      </c>
      <c r="M188" s="173">
        <f>IF($D188="","",'Total &amp; Budget Targets'!$G$44)</f>
        <v>0</v>
      </c>
      <c r="N188" s="173">
        <f>IF($D188="","",'Total &amp; Budget Targets'!$G$63)</f>
        <v>0</v>
      </c>
      <c r="O188" s="173">
        <f>IF($D188="","",'Total &amp; Budget Targets'!$G$69)</f>
        <v>0</v>
      </c>
    </row>
    <row r="189" spans="1:15" ht="15.75" customHeight="1" x14ac:dyDescent="0.2">
      <c r="A189" s="165">
        <f t="shared" si="3"/>
        <v>185</v>
      </c>
      <c r="B189" s="172"/>
      <c r="C189" s="169">
        <f>IF(D188="","",IF(D188+1&gt;'Date Info'!$D$21,"",D188+1))</f>
        <v>51288</v>
      </c>
      <c r="D189" s="172">
        <f>IFERROR(IF(C189="","",IF(EOMONTH(C189,0)&gt;'Date Info'!$D$21,'Date Info'!$D$21,EOMONTH(C189,0))),"")</f>
        <v>51317</v>
      </c>
      <c r="E189" s="173">
        <f>IF($D189="","",IFERROR(SUMIFS(Expenses!$E:$E,Expenses!$B:$B,"&gt;="&amp;$C189,Expenses!$B:$B,"&lt;="&amp;$D189),"na"))</f>
        <v>0</v>
      </c>
      <c r="F189" s="173">
        <f>IF($D189="","",IFERROR(SUMIFS(Income!$D:$D,Income!$B:$B,"&gt;="&amp;$C189,Income!$B:$B,"&lt;="&amp;$D189),"na"))</f>
        <v>0</v>
      </c>
      <c r="G189" s="173">
        <f t="shared" si="0"/>
        <v>0</v>
      </c>
      <c r="H189" s="174" t="str">
        <f t="shared" si="1"/>
        <v>na</v>
      </c>
      <c r="I189" s="174" t="str">
        <f t="shared" si="2"/>
        <v>na</v>
      </c>
      <c r="J189" s="173">
        <f t="shared" ref="J189:L189" si="187">IF(E189="","",J$5)</f>
        <v>38</v>
      </c>
      <c r="K189" s="173">
        <f t="shared" si="187"/>
        <v>300</v>
      </c>
      <c r="L189" s="173">
        <f t="shared" si="187"/>
        <v>262</v>
      </c>
      <c r="M189" s="173">
        <f>IF($D189="","",'Total &amp; Budget Targets'!$G$44)</f>
        <v>0</v>
      </c>
      <c r="N189" s="173">
        <f>IF($D189="","",'Total &amp; Budget Targets'!$G$63)</f>
        <v>0</v>
      </c>
      <c r="O189" s="173">
        <f>IF($D189="","",'Total &amp; Budget Targets'!$G$69)</f>
        <v>0</v>
      </c>
    </row>
    <row r="190" spans="1:15" ht="15.75" customHeight="1" x14ac:dyDescent="0.2">
      <c r="A190" s="165">
        <f t="shared" si="3"/>
        <v>186</v>
      </c>
      <c r="B190" s="172"/>
      <c r="C190" s="169">
        <f>IF(D189="","",IF(D189+1&gt;'Date Info'!$D$21,"",D189+1))</f>
        <v>51318</v>
      </c>
      <c r="D190" s="172">
        <f>IFERROR(IF(C190="","",IF(EOMONTH(C190,0)&gt;'Date Info'!$D$21,'Date Info'!$D$21,EOMONTH(C190,0))),"")</f>
        <v>51348</v>
      </c>
      <c r="E190" s="173">
        <f>IF($D190="","",IFERROR(SUMIFS(Expenses!$E:$E,Expenses!$B:$B,"&gt;="&amp;$C190,Expenses!$B:$B,"&lt;="&amp;$D190),"na"))</f>
        <v>0</v>
      </c>
      <c r="F190" s="173">
        <f>IF($D190="","",IFERROR(SUMIFS(Income!$D:$D,Income!$B:$B,"&gt;="&amp;$C190,Income!$B:$B,"&lt;="&amp;$D190),"na"))</f>
        <v>0</v>
      </c>
      <c r="G190" s="173">
        <f t="shared" si="0"/>
        <v>0</v>
      </c>
      <c r="H190" s="174" t="str">
        <f t="shared" si="1"/>
        <v>na</v>
      </c>
      <c r="I190" s="174" t="str">
        <f t="shared" si="2"/>
        <v>na</v>
      </c>
      <c r="J190" s="173">
        <f t="shared" ref="J190:L190" si="188">IF(E190="","",J$5)</f>
        <v>38</v>
      </c>
      <c r="K190" s="173">
        <f t="shared" si="188"/>
        <v>300</v>
      </c>
      <c r="L190" s="173">
        <f t="shared" si="188"/>
        <v>262</v>
      </c>
      <c r="M190" s="173">
        <f>IF($D190="","",'Total &amp; Budget Targets'!$G$44)</f>
        <v>0</v>
      </c>
      <c r="N190" s="173">
        <f>IF($D190="","",'Total &amp; Budget Targets'!$G$63)</f>
        <v>0</v>
      </c>
      <c r="O190" s="173">
        <f>IF($D190="","",'Total &amp; Budget Targets'!$G$69)</f>
        <v>0</v>
      </c>
    </row>
    <row r="191" spans="1:15" ht="15.75" customHeight="1" x14ac:dyDescent="0.2">
      <c r="A191" s="165">
        <f t="shared" si="3"/>
        <v>187</v>
      </c>
      <c r="B191" s="172"/>
      <c r="C191" s="169">
        <f>IF(D190="","",IF(D190+1&gt;'Date Info'!$D$21,"",D190+1))</f>
        <v>51349</v>
      </c>
      <c r="D191" s="172">
        <f>IFERROR(IF(C191="","",IF(EOMONTH(C191,0)&gt;'Date Info'!$D$21,'Date Info'!$D$21,EOMONTH(C191,0))),"")</f>
        <v>51379</v>
      </c>
      <c r="E191" s="173">
        <f>IF($D191="","",IFERROR(SUMIFS(Expenses!$E:$E,Expenses!$B:$B,"&gt;="&amp;$C191,Expenses!$B:$B,"&lt;="&amp;$D191),"na"))</f>
        <v>0</v>
      </c>
      <c r="F191" s="173">
        <f>IF($D191="","",IFERROR(SUMIFS(Income!$D:$D,Income!$B:$B,"&gt;="&amp;$C191,Income!$B:$B,"&lt;="&amp;$D191),"na"))</f>
        <v>0</v>
      </c>
      <c r="G191" s="173">
        <f t="shared" si="0"/>
        <v>0</v>
      </c>
      <c r="H191" s="174" t="str">
        <f t="shared" si="1"/>
        <v>na</v>
      </c>
      <c r="I191" s="174" t="str">
        <f t="shared" si="2"/>
        <v>na</v>
      </c>
      <c r="J191" s="173">
        <f t="shared" ref="J191:L191" si="189">IF(E191="","",J$5)</f>
        <v>38</v>
      </c>
      <c r="K191" s="173">
        <f t="shared" si="189"/>
        <v>300</v>
      </c>
      <c r="L191" s="173">
        <f t="shared" si="189"/>
        <v>262</v>
      </c>
      <c r="M191" s="173">
        <f>IF($D191="","",'Total &amp; Budget Targets'!$G$44)</f>
        <v>0</v>
      </c>
      <c r="N191" s="173">
        <f>IF($D191="","",'Total &amp; Budget Targets'!$G$63)</f>
        <v>0</v>
      </c>
      <c r="O191" s="173">
        <f>IF($D191="","",'Total &amp; Budget Targets'!$G$69)</f>
        <v>0</v>
      </c>
    </row>
    <row r="192" spans="1:15" ht="15.75" customHeight="1" x14ac:dyDescent="0.2">
      <c r="A192" s="165">
        <f t="shared" si="3"/>
        <v>188</v>
      </c>
      <c r="B192" s="172"/>
      <c r="C192" s="169">
        <f>IF(D191="","",IF(D191+1&gt;'Date Info'!$D$21,"",D191+1))</f>
        <v>51380</v>
      </c>
      <c r="D192" s="172">
        <f>IFERROR(IF(C192="","",IF(EOMONTH(C192,0)&gt;'Date Info'!$D$21,'Date Info'!$D$21,EOMONTH(C192,0))),"")</f>
        <v>51409</v>
      </c>
      <c r="E192" s="173">
        <f>IF($D192="","",IFERROR(SUMIFS(Expenses!$E:$E,Expenses!$B:$B,"&gt;="&amp;$C192,Expenses!$B:$B,"&lt;="&amp;$D192),"na"))</f>
        <v>0</v>
      </c>
      <c r="F192" s="173">
        <f>IF($D192="","",IFERROR(SUMIFS(Income!$D:$D,Income!$B:$B,"&gt;="&amp;$C192,Income!$B:$B,"&lt;="&amp;$D192),"na"))</f>
        <v>0</v>
      </c>
      <c r="G192" s="173">
        <f t="shared" si="0"/>
        <v>0</v>
      </c>
      <c r="H192" s="174" t="str">
        <f t="shared" si="1"/>
        <v>na</v>
      </c>
      <c r="I192" s="174" t="str">
        <f t="shared" si="2"/>
        <v>na</v>
      </c>
      <c r="J192" s="173">
        <f t="shared" ref="J192:L192" si="190">IF(E192="","",J$5)</f>
        <v>38</v>
      </c>
      <c r="K192" s="173">
        <f t="shared" si="190"/>
        <v>300</v>
      </c>
      <c r="L192" s="173">
        <f t="shared" si="190"/>
        <v>262</v>
      </c>
      <c r="M192" s="173">
        <f>IF($D192="","",'Total &amp; Budget Targets'!$G$44)</f>
        <v>0</v>
      </c>
      <c r="N192" s="173">
        <f>IF($D192="","",'Total &amp; Budget Targets'!$G$63)</f>
        <v>0</v>
      </c>
      <c r="O192" s="173">
        <f>IF($D192="","",'Total &amp; Budget Targets'!$G$69)</f>
        <v>0</v>
      </c>
    </row>
    <row r="193" spans="1:15" ht="15.75" customHeight="1" x14ac:dyDescent="0.2">
      <c r="A193" s="165">
        <f t="shared" si="3"/>
        <v>189</v>
      </c>
      <c r="B193" s="172"/>
      <c r="C193" s="169">
        <f>IF(D192="","",IF(D192+1&gt;'Date Info'!$D$21,"",D192+1))</f>
        <v>51410</v>
      </c>
      <c r="D193" s="172">
        <f>IFERROR(IF(C193="","",IF(EOMONTH(C193,0)&gt;'Date Info'!$D$21,'Date Info'!$D$21,EOMONTH(C193,0))),"")</f>
        <v>51440</v>
      </c>
      <c r="E193" s="173">
        <f>IF($D193="","",IFERROR(SUMIFS(Expenses!$E:$E,Expenses!$B:$B,"&gt;="&amp;$C193,Expenses!$B:$B,"&lt;="&amp;$D193),"na"))</f>
        <v>0</v>
      </c>
      <c r="F193" s="173">
        <f>IF($D193="","",IFERROR(SUMIFS(Income!$D:$D,Income!$B:$B,"&gt;="&amp;$C193,Income!$B:$B,"&lt;="&amp;$D193),"na"))</f>
        <v>0</v>
      </c>
      <c r="G193" s="173">
        <f t="shared" si="0"/>
        <v>0</v>
      </c>
      <c r="H193" s="174" t="str">
        <f t="shared" si="1"/>
        <v>na</v>
      </c>
      <c r="I193" s="174" t="str">
        <f t="shared" si="2"/>
        <v>na</v>
      </c>
      <c r="J193" s="173">
        <f t="shared" ref="J193:L193" si="191">IF(E193="","",J$5)</f>
        <v>38</v>
      </c>
      <c r="K193" s="173">
        <f t="shared" si="191"/>
        <v>300</v>
      </c>
      <c r="L193" s="173">
        <f t="shared" si="191"/>
        <v>262</v>
      </c>
      <c r="M193" s="173">
        <f>IF($D193="","",'Total &amp; Budget Targets'!$G$44)</f>
        <v>0</v>
      </c>
      <c r="N193" s="173">
        <f>IF($D193="","",'Total &amp; Budget Targets'!$G$63)</f>
        <v>0</v>
      </c>
      <c r="O193" s="173">
        <f>IF($D193="","",'Total &amp; Budget Targets'!$G$69)</f>
        <v>0</v>
      </c>
    </row>
    <row r="194" spans="1:15" ht="15.75" customHeight="1" x14ac:dyDescent="0.2">
      <c r="A194" s="165">
        <f t="shared" si="3"/>
        <v>190</v>
      </c>
      <c r="B194" s="172"/>
      <c r="C194" s="169">
        <f>IF(D193="","",IF(D193+1&gt;'Date Info'!$D$21,"",D193+1))</f>
        <v>51441</v>
      </c>
      <c r="D194" s="172">
        <f>IFERROR(IF(C194="","",IF(EOMONTH(C194,0)&gt;'Date Info'!$D$21,'Date Info'!$D$21,EOMONTH(C194,0))),"")</f>
        <v>51470</v>
      </c>
      <c r="E194" s="173">
        <f>IF($D194="","",IFERROR(SUMIFS(Expenses!$E:$E,Expenses!$B:$B,"&gt;="&amp;$C194,Expenses!$B:$B,"&lt;="&amp;$D194),"na"))</f>
        <v>0</v>
      </c>
      <c r="F194" s="173">
        <f>IF($D194="","",IFERROR(SUMIFS(Income!$D:$D,Income!$B:$B,"&gt;="&amp;$C194,Income!$B:$B,"&lt;="&amp;$D194),"na"))</f>
        <v>0</v>
      </c>
      <c r="G194" s="173">
        <f t="shared" si="0"/>
        <v>0</v>
      </c>
      <c r="H194" s="174" t="str">
        <f t="shared" si="1"/>
        <v>na</v>
      </c>
      <c r="I194" s="174" t="str">
        <f t="shared" si="2"/>
        <v>na</v>
      </c>
      <c r="J194" s="173">
        <f t="shared" ref="J194:L194" si="192">IF(E194="","",J$5)</f>
        <v>38</v>
      </c>
      <c r="K194" s="173">
        <f t="shared" si="192"/>
        <v>300</v>
      </c>
      <c r="L194" s="173">
        <f t="shared" si="192"/>
        <v>262</v>
      </c>
      <c r="M194" s="173">
        <f>IF($D194="","",'Total &amp; Budget Targets'!$G$44)</f>
        <v>0</v>
      </c>
      <c r="N194" s="173">
        <f>IF($D194="","",'Total &amp; Budget Targets'!$G$63)</f>
        <v>0</v>
      </c>
      <c r="O194" s="173">
        <f>IF($D194="","",'Total &amp; Budget Targets'!$G$69)</f>
        <v>0</v>
      </c>
    </row>
    <row r="195" spans="1:15" ht="15.75" customHeight="1" x14ac:dyDescent="0.2">
      <c r="A195" s="165">
        <f t="shared" si="3"/>
        <v>191</v>
      </c>
      <c r="B195" s="172"/>
      <c r="C195" s="169">
        <f>IF(D194="","",IF(D194+1&gt;'Date Info'!$D$21,"",D194+1))</f>
        <v>51471</v>
      </c>
      <c r="D195" s="172">
        <f>IFERROR(IF(C195="","",IF(EOMONTH(C195,0)&gt;'Date Info'!$D$21,'Date Info'!$D$21,EOMONTH(C195,0))),"")</f>
        <v>51501</v>
      </c>
      <c r="E195" s="173">
        <f>IF($D195="","",IFERROR(SUMIFS(Expenses!$E:$E,Expenses!$B:$B,"&gt;="&amp;$C195,Expenses!$B:$B,"&lt;="&amp;$D195),"na"))</f>
        <v>0</v>
      </c>
      <c r="F195" s="173">
        <f>IF($D195="","",IFERROR(SUMIFS(Income!$D:$D,Income!$B:$B,"&gt;="&amp;$C195,Income!$B:$B,"&lt;="&amp;$D195),"na"))</f>
        <v>0</v>
      </c>
      <c r="G195" s="173">
        <f t="shared" si="0"/>
        <v>0</v>
      </c>
      <c r="H195" s="174" t="str">
        <f t="shared" si="1"/>
        <v>na</v>
      </c>
      <c r="I195" s="174" t="str">
        <f t="shared" si="2"/>
        <v>na</v>
      </c>
      <c r="J195" s="173">
        <f t="shared" ref="J195:L195" si="193">IF(E195="","",J$5)</f>
        <v>38</v>
      </c>
      <c r="K195" s="173">
        <f t="shared" si="193"/>
        <v>300</v>
      </c>
      <c r="L195" s="173">
        <f t="shared" si="193"/>
        <v>262</v>
      </c>
      <c r="M195" s="173">
        <f>IF($D195="","",'Total &amp; Budget Targets'!$G$44)</f>
        <v>0</v>
      </c>
      <c r="N195" s="173">
        <f>IF($D195="","",'Total &amp; Budget Targets'!$G$63)</f>
        <v>0</v>
      </c>
      <c r="O195" s="173">
        <f>IF($D195="","",'Total &amp; Budget Targets'!$G$69)</f>
        <v>0</v>
      </c>
    </row>
    <row r="196" spans="1:15" ht="15.75" customHeight="1" x14ac:dyDescent="0.2">
      <c r="A196" s="165">
        <f t="shared" si="3"/>
        <v>192</v>
      </c>
      <c r="B196" s="172"/>
      <c r="C196" s="169">
        <f>IF(D195="","",IF(D195+1&gt;'Date Info'!$D$21,"",D195+1))</f>
        <v>51502</v>
      </c>
      <c r="D196" s="172">
        <f>IFERROR(IF(C196="","",IF(EOMONTH(C196,0)&gt;'Date Info'!$D$21,'Date Info'!$D$21,EOMONTH(C196,0))),"")</f>
        <v>51532</v>
      </c>
      <c r="E196" s="173">
        <f>IF($D196="","",IFERROR(SUMIFS(Expenses!$E:$E,Expenses!$B:$B,"&gt;="&amp;$C196,Expenses!$B:$B,"&lt;="&amp;$D196),"na"))</f>
        <v>0</v>
      </c>
      <c r="F196" s="173">
        <f>IF($D196="","",IFERROR(SUMIFS(Income!$D:$D,Income!$B:$B,"&gt;="&amp;$C196,Income!$B:$B,"&lt;="&amp;$D196),"na"))</f>
        <v>0</v>
      </c>
      <c r="G196" s="173">
        <f t="shared" si="0"/>
        <v>0</v>
      </c>
      <c r="H196" s="174" t="str">
        <f t="shared" si="1"/>
        <v>na</v>
      </c>
      <c r="I196" s="174" t="str">
        <f t="shared" si="2"/>
        <v>na</v>
      </c>
      <c r="J196" s="173">
        <f t="shared" ref="J196:L196" si="194">IF(E196="","",J$5)</f>
        <v>38</v>
      </c>
      <c r="K196" s="173">
        <f t="shared" si="194"/>
        <v>300</v>
      </c>
      <c r="L196" s="173">
        <f t="shared" si="194"/>
        <v>262</v>
      </c>
      <c r="M196" s="173">
        <f>IF($D196="","",'Total &amp; Budget Targets'!$G$44)</f>
        <v>0</v>
      </c>
      <c r="N196" s="173">
        <f>IF($D196="","",'Total &amp; Budget Targets'!$G$63)</f>
        <v>0</v>
      </c>
      <c r="O196" s="173">
        <f>IF($D196="","",'Total &amp; Budget Targets'!$G$69)</f>
        <v>0</v>
      </c>
    </row>
    <row r="197" spans="1:15" ht="15.75" customHeight="1" x14ac:dyDescent="0.2">
      <c r="A197" s="165">
        <f t="shared" si="3"/>
        <v>193</v>
      </c>
      <c r="B197" s="172"/>
      <c r="C197" s="169">
        <f>IF(D196="","",IF(D196+1&gt;'Date Info'!$D$21,"",D196+1))</f>
        <v>51533</v>
      </c>
      <c r="D197" s="172">
        <f>IFERROR(IF(C197="","",IF(EOMONTH(C197,0)&gt;'Date Info'!$D$21,'Date Info'!$D$21,EOMONTH(C197,0))),"")</f>
        <v>51560</v>
      </c>
      <c r="E197" s="173">
        <f>IF($D197="","",IFERROR(SUMIFS(Expenses!$E:$E,Expenses!$B:$B,"&gt;="&amp;$C197,Expenses!$B:$B,"&lt;="&amp;$D197),"na"))</f>
        <v>0</v>
      </c>
      <c r="F197" s="173">
        <f>IF($D197="","",IFERROR(SUMIFS(Income!$D:$D,Income!$B:$B,"&gt;="&amp;$C197,Income!$B:$B,"&lt;="&amp;$D197),"na"))</f>
        <v>0</v>
      </c>
      <c r="G197" s="173">
        <f t="shared" si="0"/>
        <v>0</v>
      </c>
      <c r="H197" s="174" t="str">
        <f t="shared" si="1"/>
        <v>na</v>
      </c>
      <c r="I197" s="174" t="str">
        <f t="shared" si="2"/>
        <v>na</v>
      </c>
      <c r="J197" s="173">
        <f t="shared" ref="J197:L197" si="195">IF(E197="","",J$5)</f>
        <v>38</v>
      </c>
      <c r="K197" s="173">
        <f t="shared" si="195"/>
        <v>300</v>
      </c>
      <c r="L197" s="173">
        <f t="shared" si="195"/>
        <v>262</v>
      </c>
      <c r="M197" s="173">
        <f>IF($D197="","",'Total &amp; Budget Targets'!$G$44)</f>
        <v>0</v>
      </c>
      <c r="N197" s="173">
        <f>IF($D197="","",'Total &amp; Budget Targets'!$G$63)</f>
        <v>0</v>
      </c>
      <c r="O197" s="173">
        <f>IF($D197="","",'Total &amp; Budget Targets'!$G$69)</f>
        <v>0</v>
      </c>
    </row>
    <row r="198" spans="1:15" ht="15.75" customHeight="1" x14ac:dyDescent="0.2">
      <c r="A198" s="165">
        <f t="shared" si="3"/>
        <v>194</v>
      </c>
      <c r="B198" s="172"/>
      <c r="C198" s="169">
        <f>IF(D197="","",IF(D197+1&gt;'Date Info'!$D$21,"",D197+1))</f>
        <v>51561</v>
      </c>
      <c r="D198" s="172">
        <f>IFERROR(IF(C198="","",IF(EOMONTH(C198,0)&gt;'Date Info'!$D$21,'Date Info'!$D$21,EOMONTH(C198,0))),"")</f>
        <v>51591</v>
      </c>
      <c r="E198" s="173">
        <f>IF($D198="","",IFERROR(SUMIFS(Expenses!$E:$E,Expenses!$B:$B,"&gt;="&amp;$C198,Expenses!$B:$B,"&lt;="&amp;$D198),"na"))</f>
        <v>0</v>
      </c>
      <c r="F198" s="173">
        <f>IF($D198="","",IFERROR(SUMIFS(Income!$D:$D,Income!$B:$B,"&gt;="&amp;$C198,Income!$B:$B,"&lt;="&amp;$D198),"na"))</f>
        <v>0</v>
      </c>
      <c r="G198" s="173">
        <f t="shared" si="0"/>
        <v>0</v>
      </c>
      <c r="H198" s="174" t="str">
        <f t="shared" si="1"/>
        <v>na</v>
      </c>
      <c r="I198" s="174" t="str">
        <f t="shared" si="2"/>
        <v>na</v>
      </c>
      <c r="J198" s="173">
        <f t="shared" ref="J198:L198" si="196">IF(E198="","",J$5)</f>
        <v>38</v>
      </c>
      <c r="K198" s="173">
        <f t="shared" si="196"/>
        <v>300</v>
      </c>
      <c r="L198" s="173">
        <f t="shared" si="196"/>
        <v>262</v>
      </c>
      <c r="M198" s="173">
        <f>IF($D198="","",'Total &amp; Budget Targets'!$G$44)</f>
        <v>0</v>
      </c>
      <c r="N198" s="173">
        <f>IF($D198="","",'Total &amp; Budget Targets'!$G$63)</f>
        <v>0</v>
      </c>
      <c r="O198" s="173">
        <f>IF($D198="","",'Total &amp; Budget Targets'!$G$69)</f>
        <v>0</v>
      </c>
    </row>
    <row r="199" spans="1:15" ht="15.75" customHeight="1" x14ac:dyDescent="0.2">
      <c r="A199" s="165">
        <f t="shared" si="3"/>
        <v>195</v>
      </c>
      <c r="B199" s="172"/>
      <c r="C199" s="169">
        <f>IF(D198="","",IF(D198+1&gt;'Date Info'!$D$21,"",D198+1))</f>
        <v>51592</v>
      </c>
      <c r="D199" s="172">
        <f>IFERROR(IF(C199="","",IF(EOMONTH(C199,0)&gt;'Date Info'!$D$21,'Date Info'!$D$21,EOMONTH(C199,0))),"")</f>
        <v>51621</v>
      </c>
      <c r="E199" s="173">
        <f>IF($D199="","",IFERROR(SUMIFS(Expenses!$E:$E,Expenses!$B:$B,"&gt;="&amp;$C199,Expenses!$B:$B,"&lt;="&amp;$D199),"na"))</f>
        <v>0</v>
      </c>
      <c r="F199" s="173">
        <f>IF($D199="","",IFERROR(SUMIFS(Income!$D:$D,Income!$B:$B,"&gt;="&amp;$C199,Income!$B:$B,"&lt;="&amp;$D199),"na"))</f>
        <v>0</v>
      </c>
      <c r="G199" s="173">
        <f t="shared" si="0"/>
        <v>0</v>
      </c>
      <c r="H199" s="174" t="str">
        <f t="shared" si="1"/>
        <v>na</v>
      </c>
      <c r="I199" s="174" t="str">
        <f t="shared" si="2"/>
        <v>na</v>
      </c>
      <c r="J199" s="173">
        <f t="shared" ref="J199:L199" si="197">IF(E199="","",J$5)</f>
        <v>38</v>
      </c>
      <c r="K199" s="173">
        <f t="shared" si="197"/>
        <v>300</v>
      </c>
      <c r="L199" s="173">
        <f t="shared" si="197"/>
        <v>262</v>
      </c>
      <c r="M199" s="173">
        <f>IF($D199="","",'Total &amp; Budget Targets'!$G$44)</f>
        <v>0</v>
      </c>
      <c r="N199" s="173">
        <f>IF($D199="","",'Total &amp; Budget Targets'!$G$63)</f>
        <v>0</v>
      </c>
      <c r="O199" s="173">
        <f>IF($D199="","",'Total &amp; Budget Targets'!$G$69)</f>
        <v>0</v>
      </c>
    </row>
    <row r="200" spans="1:15" ht="15.75" customHeight="1" x14ac:dyDescent="0.2">
      <c r="A200" s="165">
        <f t="shared" si="3"/>
        <v>196</v>
      </c>
      <c r="B200" s="172"/>
      <c r="C200" s="169">
        <f>IF(D199="","",IF(D199+1&gt;'Date Info'!$D$21,"",D199+1))</f>
        <v>51622</v>
      </c>
      <c r="D200" s="172">
        <f>IFERROR(IF(C200="","",IF(EOMONTH(C200,0)&gt;'Date Info'!$D$21,'Date Info'!$D$21,EOMONTH(C200,0))),"")</f>
        <v>51652</v>
      </c>
      <c r="E200" s="173">
        <f>IF($D200="","",IFERROR(SUMIFS(Expenses!$E:$E,Expenses!$B:$B,"&gt;="&amp;$C200,Expenses!$B:$B,"&lt;="&amp;$D200),"na"))</f>
        <v>0</v>
      </c>
      <c r="F200" s="173">
        <f>IF($D200="","",IFERROR(SUMIFS(Income!$D:$D,Income!$B:$B,"&gt;="&amp;$C200,Income!$B:$B,"&lt;="&amp;$D200),"na"))</f>
        <v>0</v>
      </c>
      <c r="G200" s="173">
        <f t="shared" si="0"/>
        <v>0</v>
      </c>
      <c r="H200" s="174" t="str">
        <f t="shared" si="1"/>
        <v>na</v>
      </c>
      <c r="I200" s="174" t="str">
        <f t="shared" si="2"/>
        <v>na</v>
      </c>
      <c r="J200" s="173">
        <f t="shared" ref="J200:L200" si="198">IF(E200="","",J$5)</f>
        <v>38</v>
      </c>
      <c r="K200" s="173">
        <f t="shared" si="198"/>
        <v>300</v>
      </c>
      <c r="L200" s="173">
        <f t="shared" si="198"/>
        <v>262</v>
      </c>
      <c r="M200" s="173">
        <f>IF($D200="","",'Total &amp; Budget Targets'!$G$44)</f>
        <v>0</v>
      </c>
      <c r="N200" s="173">
        <f>IF($D200="","",'Total &amp; Budget Targets'!$G$63)</f>
        <v>0</v>
      </c>
      <c r="O200" s="173">
        <f>IF($D200="","",'Total &amp; Budget Targets'!$G$69)</f>
        <v>0</v>
      </c>
    </row>
    <row r="201" spans="1:15" ht="15.75" customHeight="1" x14ac:dyDescent="0.2">
      <c r="A201" s="165">
        <f t="shared" si="3"/>
        <v>197</v>
      </c>
      <c r="B201" s="172"/>
      <c r="C201" s="169">
        <f>IF(D200="","",IF(D200+1&gt;'Date Info'!$D$21,"",D200+1))</f>
        <v>51653</v>
      </c>
      <c r="D201" s="172">
        <f>IFERROR(IF(C201="","",IF(EOMONTH(C201,0)&gt;'Date Info'!$D$21,'Date Info'!$D$21,EOMONTH(C201,0))),"")</f>
        <v>51682</v>
      </c>
      <c r="E201" s="173">
        <f>IF($D201="","",IFERROR(SUMIFS(Expenses!$E:$E,Expenses!$B:$B,"&gt;="&amp;$C201,Expenses!$B:$B,"&lt;="&amp;$D201),"na"))</f>
        <v>0</v>
      </c>
      <c r="F201" s="173">
        <f>IF($D201="","",IFERROR(SUMIFS(Income!$D:$D,Income!$B:$B,"&gt;="&amp;$C201,Income!$B:$B,"&lt;="&amp;$D201),"na"))</f>
        <v>0</v>
      </c>
      <c r="G201" s="173">
        <f t="shared" si="0"/>
        <v>0</v>
      </c>
      <c r="H201" s="174" t="str">
        <f t="shared" si="1"/>
        <v>na</v>
      </c>
      <c r="I201" s="174" t="str">
        <f t="shared" si="2"/>
        <v>na</v>
      </c>
      <c r="J201" s="173">
        <f t="shared" ref="J201:L201" si="199">IF(E201="","",J$5)</f>
        <v>38</v>
      </c>
      <c r="K201" s="173">
        <f t="shared" si="199"/>
        <v>300</v>
      </c>
      <c r="L201" s="173">
        <f t="shared" si="199"/>
        <v>262</v>
      </c>
      <c r="M201" s="173">
        <f>IF($D201="","",'Total &amp; Budget Targets'!$G$44)</f>
        <v>0</v>
      </c>
      <c r="N201" s="173">
        <f>IF($D201="","",'Total &amp; Budget Targets'!$G$63)</f>
        <v>0</v>
      </c>
      <c r="O201" s="173">
        <f>IF($D201="","",'Total &amp; Budget Targets'!$G$69)</f>
        <v>0</v>
      </c>
    </row>
    <row r="202" spans="1:15" ht="15.75" customHeight="1" x14ac:dyDescent="0.2">
      <c r="A202" s="165">
        <f t="shared" si="3"/>
        <v>198</v>
      </c>
      <c r="B202" s="172"/>
      <c r="C202" s="169">
        <f>IF(D201="","",IF(D201+1&gt;'Date Info'!$D$21,"",D201+1))</f>
        <v>51683</v>
      </c>
      <c r="D202" s="172">
        <f>IFERROR(IF(C202="","",IF(EOMONTH(C202,0)&gt;'Date Info'!$D$21,'Date Info'!$D$21,EOMONTH(C202,0))),"")</f>
        <v>51713</v>
      </c>
      <c r="E202" s="173">
        <f>IF($D202="","",IFERROR(SUMIFS(Expenses!$E:$E,Expenses!$B:$B,"&gt;="&amp;$C202,Expenses!$B:$B,"&lt;="&amp;$D202),"na"))</f>
        <v>0</v>
      </c>
      <c r="F202" s="173">
        <f>IF($D202="","",IFERROR(SUMIFS(Income!$D:$D,Income!$B:$B,"&gt;="&amp;$C202,Income!$B:$B,"&lt;="&amp;$D202),"na"))</f>
        <v>0</v>
      </c>
      <c r="G202" s="173">
        <f t="shared" si="0"/>
        <v>0</v>
      </c>
      <c r="H202" s="174" t="str">
        <f t="shared" si="1"/>
        <v>na</v>
      </c>
      <c r="I202" s="174" t="str">
        <f t="shared" si="2"/>
        <v>na</v>
      </c>
      <c r="J202" s="173">
        <f t="shared" ref="J202:L202" si="200">IF(E202="","",J$5)</f>
        <v>38</v>
      </c>
      <c r="K202" s="173">
        <f t="shared" si="200"/>
        <v>300</v>
      </c>
      <c r="L202" s="173">
        <f t="shared" si="200"/>
        <v>262</v>
      </c>
      <c r="M202" s="173">
        <f>IF($D202="","",'Total &amp; Budget Targets'!$G$44)</f>
        <v>0</v>
      </c>
      <c r="N202" s="173">
        <f>IF($D202="","",'Total &amp; Budget Targets'!$G$63)</f>
        <v>0</v>
      </c>
      <c r="O202" s="173">
        <f>IF($D202="","",'Total &amp; Budget Targets'!$G$69)</f>
        <v>0</v>
      </c>
    </row>
    <row r="203" spans="1:15" ht="15.75" customHeight="1" x14ac:dyDescent="0.2">
      <c r="A203" s="165">
        <f t="shared" si="3"/>
        <v>199</v>
      </c>
      <c r="B203" s="172"/>
      <c r="C203" s="169">
        <f>IF(D202="","",IF(D202+1&gt;'Date Info'!$D$21,"",D202+1))</f>
        <v>51714</v>
      </c>
      <c r="D203" s="172">
        <f>IFERROR(IF(C203="","",IF(EOMONTH(C203,0)&gt;'Date Info'!$D$21,'Date Info'!$D$21,EOMONTH(C203,0))),"")</f>
        <v>51744</v>
      </c>
      <c r="E203" s="173">
        <f>IF($D203="","",IFERROR(SUMIFS(Expenses!$E:$E,Expenses!$B:$B,"&gt;="&amp;$C203,Expenses!$B:$B,"&lt;="&amp;$D203),"na"))</f>
        <v>0</v>
      </c>
      <c r="F203" s="173">
        <f>IF($D203="","",IFERROR(SUMIFS(Income!$D:$D,Income!$B:$B,"&gt;="&amp;$C203,Income!$B:$B,"&lt;="&amp;$D203),"na"))</f>
        <v>0</v>
      </c>
      <c r="G203" s="173">
        <f t="shared" si="0"/>
        <v>0</v>
      </c>
      <c r="H203" s="174" t="str">
        <f t="shared" si="1"/>
        <v>na</v>
      </c>
      <c r="I203" s="174" t="str">
        <f t="shared" si="2"/>
        <v>na</v>
      </c>
      <c r="J203" s="173">
        <f t="shared" ref="J203:L203" si="201">IF(E203="","",J$5)</f>
        <v>38</v>
      </c>
      <c r="K203" s="173">
        <f t="shared" si="201"/>
        <v>300</v>
      </c>
      <c r="L203" s="173">
        <f t="shared" si="201"/>
        <v>262</v>
      </c>
      <c r="M203" s="173">
        <f>IF($D203="","",'Total &amp; Budget Targets'!$G$44)</f>
        <v>0</v>
      </c>
      <c r="N203" s="173">
        <f>IF($D203="","",'Total &amp; Budget Targets'!$G$63)</f>
        <v>0</v>
      </c>
      <c r="O203" s="173">
        <f>IF($D203="","",'Total &amp; Budget Targets'!$G$69)</f>
        <v>0</v>
      </c>
    </row>
    <row r="204" spans="1:15" ht="15.75" customHeight="1" x14ac:dyDescent="0.2">
      <c r="A204" s="165">
        <f t="shared" si="3"/>
        <v>200</v>
      </c>
      <c r="B204" s="172"/>
      <c r="C204" s="169">
        <f>IF(D203="","",IF(D203+1&gt;'Date Info'!$D$21,"",D203+1))</f>
        <v>51745</v>
      </c>
      <c r="D204" s="172">
        <f>IFERROR(IF(C204="","",IF(EOMONTH(C204,0)&gt;'Date Info'!$D$21,'Date Info'!$D$21,EOMONTH(C204,0))),"")</f>
        <v>51774</v>
      </c>
      <c r="E204" s="173">
        <f>IF($D204="","",IFERROR(SUMIFS(Expenses!$E:$E,Expenses!$B:$B,"&gt;="&amp;$C204,Expenses!$B:$B,"&lt;="&amp;$D204),"na"))</f>
        <v>0</v>
      </c>
      <c r="F204" s="173">
        <f>IF($D204="","",IFERROR(SUMIFS(Income!$D:$D,Income!$B:$B,"&gt;="&amp;$C204,Income!$B:$B,"&lt;="&amp;$D204),"na"))</f>
        <v>0</v>
      </c>
      <c r="G204" s="173">
        <f t="shared" si="0"/>
        <v>0</v>
      </c>
      <c r="H204" s="174" t="str">
        <f t="shared" si="1"/>
        <v>na</v>
      </c>
      <c r="I204" s="174" t="str">
        <f t="shared" si="2"/>
        <v>na</v>
      </c>
      <c r="J204" s="173">
        <f t="shared" ref="J204:L204" si="202">IF(E204="","",J$5)</f>
        <v>38</v>
      </c>
      <c r="K204" s="173">
        <f t="shared" si="202"/>
        <v>300</v>
      </c>
      <c r="L204" s="173">
        <f t="shared" si="202"/>
        <v>262</v>
      </c>
      <c r="M204" s="173">
        <f>IF($D204="","",'Total &amp; Budget Targets'!$G$44)</f>
        <v>0</v>
      </c>
      <c r="N204" s="173">
        <f>IF($D204="","",'Total &amp; Budget Targets'!$G$63)</f>
        <v>0</v>
      </c>
      <c r="O204" s="173">
        <f>IF($D204="","",'Total &amp; Budget Targets'!$G$69)</f>
        <v>0</v>
      </c>
    </row>
    <row r="205" spans="1:15" ht="15.75" customHeight="1" x14ac:dyDescent="0.2">
      <c r="A205" s="165">
        <f t="shared" si="3"/>
        <v>201</v>
      </c>
      <c r="B205" s="172"/>
      <c r="C205" s="169">
        <f>IF(D204="","",IF(D204+1&gt;'Date Info'!$D$21,"",D204+1))</f>
        <v>51775</v>
      </c>
      <c r="D205" s="172">
        <f>IFERROR(IF(C205="","",IF(EOMONTH(C205,0)&gt;'Date Info'!$D$21,'Date Info'!$D$21,EOMONTH(C205,0))),"")</f>
        <v>51805</v>
      </c>
      <c r="E205" s="173">
        <f>IF($D205="","",IFERROR(SUMIFS(Expenses!$E:$E,Expenses!$B:$B,"&gt;="&amp;$C205,Expenses!$B:$B,"&lt;="&amp;$D205),"na"))</f>
        <v>0</v>
      </c>
      <c r="F205" s="173">
        <f>IF($D205="","",IFERROR(SUMIFS(Income!$D:$D,Income!$B:$B,"&gt;="&amp;$C205,Income!$B:$B,"&lt;="&amp;$D205),"na"))</f>
        <v>0</v>
      </c>
      <c r="G205" s="173">
        <f t="shared" si="0"/>
        <v>0</v>
      </c>
      <c r="H205" s="174" t="str">
        <f t="shared" si="1"/>
        <v>na</v>
      </c>
      <c r="I205" s="174" t="str">
        <f t="shared" si="2"/>
        <v>na</v>
      </c>
      <c r="J205" s="173">
        <f t="shared" ref="J205:L205" si="203">IF(E205="","",J$5)</f>
        <v>38</v>
      </c>
      <c r="K205" s="173">
        <f t="shared" si="203"/>
        <v>300</v>
      </c>
      <c r="L205" s="173">
        <f t="shared" si="203"/>
        <v>262</v>
      </c>
      <c r="M205" s="173">
        <f>IF($D205="","",'Total &amp; Budget Targets'!$G$44)</f>
        <v>0</v>
      </c>
      <c r="N205" s="173">
        <f>IF($D205="","",'Total &amp; Budget Targets'!$G$63)</f>
        <v>0</v>
      </c>
      <c r="O205" s="173">
        <f>IF($D205="","",'Total &amp; Budget Targets'!$G$69)</f>
        <v>0</v>
      </c>
    </row>
    <row r="206" spans="1:15" ht="15.75" customHeight="1" x14ac:dyDescent="0.2">
      <c r="A206" s="165">
        <f t="shared" si="3"/>
        <v>202</v>
      </c>
      <c r="B206" s="172"/>
      <c r="C206" s="169">
        <f>IF(D205="","",IF(D205+1&gt;'Date Info'!$D$21,"",D205+1))</f>
        <v>51806</v>
      </c>
      <c r="D206" s="172">
        <f>IFERROR(IF(C206="","",IF(EOMONTH(C206,0)&gt;'Date Info'!$D$21,'Date Info'!$D$21,EOMONTH(C206,0))),"")</f>
        <v>51835</v>
      </c>
      <c r="E206" s="173">
        <f>IF($D206="","",IFERROR(SUMIFS(Expenses!$E:$E,Expenses!$B:$B,"&gt;="&amp;$C206,Expenses!$B:$B,"&lt;="&amp;$D206),"na"))</f>
        <v>0</v>
      </c>
      <c r="F206" s="173">
        <f>IF($D206="","",IFERROR(SUMIFS(Income!$D:$D,Income!$B:$B,"&gt;="&amp;$C206,Income!$B:$B,"&lt;="&amp;$D206),"na"))</f>
        <v>0</v>
      </c>
      <c r="G206" s="173">
        <f t="shared" si="0"/>
        <v>0</v>
      </c>
      <c r="H206" s="174" t="str">
        <f t="shared" si="1"/>
        <v>na</v>
      </c>
      <c r="I206" s="174" t="str">
        <f t="shared" si="2"/>
        <v>na</v>
      </c>
      <c r="J206" s="173">
        <f t="shared" ref="J206:L206" si="204">IF(E206="","",J$5)</f>
        <v>38</v>
      </c>
      <c r="K206" s="173">
        <f t="shared" si="204"/>
        <v>300</v>
      </c>
      <c r="L206" s="173">
        <f t="shared" si="204"/>
        <v>262</v>
      </c>
      <c r="M206" s="173">
        <f>IF($D206="","",'Total &amp; Budget Targets'!$G$44)</f>
        <v>0</v>
      </c>
      <c r="N206" s="173">
        <f>IF($D206="","",'Total &amp; Budget Targets'!$G$63)</f>
        <v>0</v>
      </c>
      <c r="O206" s="173">
        <f>IF($D206="","",'Total &amp; Budget Targets'!$G$69)</f>
        <v>0</v>
      </c>
    </row>
    <row r="207" spans="1:15" ht="15.75" customHeight="1" x14ac:dyDescent="0.2">
      <c r="A207" s="165">
        <f t="shared" si="3"/>
        <v>203</v>
      </c>
      <c r="B207" s="172"/>
      <c r="C207" s="169">
        <f>IF(D206="","",IF(D206+1&gt;'Date Info'!$D$21,"",D206+1))</f>
        <v>51836</v>
      </c>
      <c r="D207" s="172">
        <f>IFERROR(IF(C207="","",IF(EOMONTH(C207,0)&gt;'Date Info'!$D$21,'Date Info'!$D$21,EOMONTH(C207,0))),"")</f>
        <v>51866</v>
      </c>
      <c r="E207" s="173">
        <f>IF($D207="","",IFERROR(SUMIFS(Expenses!$E:$E,Expenses!$B:$B,"&gt;="&amp;$C207,Expenses!$B:$B,"&lt;="&amp;$D207),"na"))</f>
        <v>0</v>
      </c>
      <c r="F207" s="173">
        <f>IF($D207="","",IFERROR(SUMIFS(Income!$D:$D,Income!$B:$B,"&gt;="&amp;$C207,Income!$B:$B,"&lt;="&amp;$D207),"na"))</f>
        <v>0</v>
      </c>
      <c r="G207" s="173">
        <f t="shared" si="0"/>
        <v>0</v>
      </c>
      <c r="H207" s="174" t="str">
        <f t="shared" si="1"/>
        <v>na</v>
      </c>
      <c r="I207" s="174" t="str">
        <f t="shared" si="2"/>
        <v>na</v>
      </c>
      <c r="J207" s="173">
        <f t="shared" ref="J207:L207" si="205">IF(E207="","",J$5)</f>
        <v>38</v>
      </c>
      <c r="K207" s="173">
        <f t="shared" si="205"/>
        <v>300</v>
      </c>
      <c r="L207" s="173">
        <f t="shared" si="205"/>
        <v>262</v>
      </c>
      <c r="M207" s="173">
        <f>IF($D207="","",'Total &amp; Budget Targets'!$G$44)</f>
        <v>0</v>
      </c>
      <c r="N207" s="173">
        <f>IF($D207="","",'Total &amp; Budget Targets'!$G$63)</f>
        <v>0</v>
      </c>
      <c r="O207" s="173">
        <f>IF($D207="","",'Total &amp; Budget Targets'!$G$69)</f>
        <v>0</v>
      </c>
    </row>
    <row r="208" spans="1:15" ht="15.75" customHeight="1" x14ac:dyDescent="0.2">
      <c r="A208" s="165">
        <f t="shared" si="3"/>
        <v>204</v>
      </c>
      <c r="B208" s="172"/>
      <c r="C208" s="169">
        <f>IF(D207="","",IF(D207+1&gt;'Date Info'!$D$21,"",D207+1))</f>
        <v>51867</v>
      </c>
      <c r="D208" s="172">
        <f>IFERROR(IF(C208="","",IF(EOMONTH(C208,0)&gt;'Date Info'!$D$21,'Date Info'!$D$21,EOMONTH(C208,0))),"")</f>
        <v>51897</v>
      </c>
      <c r="E208" s="173">
        <f>IF($D208="","",IFERROR(SUMIFS(Expenses!$E:$E,Expenses!$B:$B,"&gt;="&amp;$C208,Expenses!$B:$B,"&lt;="&amp;$D208),"na"))</f>
        <v>0</v>
      </c>
      <c r="F208" s="173">
        <f>IF($D208="","",IFERROR(SUMIFS(Income!$D:$D,Income!$B:$B,"&gt;="&amp;$C208,Income!$B:$B,"&lt;="&amp;$D208),"na"))</f>
        <v>0</v>
      </c>
      <c r="G208" s="173">
        <f t="shared" si="0"/>
        <v>0</v>
      </c>
      <c r="H208" s="174" t="str">
        <f t="shared" si="1"/>
        <v>na</v>
      </c>
      <c r="I208" s="174" t="str">
        <f t="shared" si="2"/>
        <v>na</v>
      </c>
      <c r="J208" s="173">
        <f t="shared" ref="J208:L208" si="206">IF(E208="","",J$5)</f>
        <v>38</v>
      </c>
      <c r="K208" s="173">
        <f t="shared" si="206"/>
        <v>300</v>
      </c>
      <c r="L208" s="173">
        <f t="shared" si="206"/>
        <v>262</v>
      </c>
      <c r="M208" s="173">
        <f>IF($D208="","",'Total &amp; Budget Targets'!$G$44)</f>
        <v>0</v>
      </c>
      <c r="N208" s="173">
        <f>IF($D208="","",'Total &amp; Budget Targets'!$G$63)</f>
        <v>0</v>
      </c>
      <c r="O208" s="173">
        <f>IF($D208="","",'Total &amp; Budget Targets'!$G$69)</f>
        <v>0</v>
      </c>
    </row>
    <row r="209" spans="1:15" ht="15.75" customHeight="1" x14ac:dyDescent="0.2">
      <c r="A209" s="165">
        <f t="shared" si="3"/>
        <v>205</v>
      </c>
      <c r="B209" s="172"/>
      <c r="C209" s="169">
        <f>IF(D208="","",IF(D208+1&gt;'Date Info'!$D$21,"",D208+1))</f>
        <v>51898</v>
      </c>
      <c r="D209" s="172">
        <f>IFERROR(IF(C209="","",IF(EOMONTH(C209,0)&gt;'Date Info'!$D$21,'Date Info'!$D$21,EOMONTH(C209,0))),"")</f>
        <v>51925</v>
      </c>
      <c r="E209" s="173">
        <f>IF($D209="","",IFERROR(SUMIFS(Expenses!$E:$E,Expenses!$B:$B,"&gt;="&amp;$C209,Expenses!$B:$B,"&lt;="&amp;$D209),"na"))</f>
        <v>0</v>
      </c>
      <c r="F209" s="173">
        <f>IF($D209="","",IFERROR(SUMIFS(Income!$D:$D,Income!$B:$B,"&gt;="&amp;$C209,Income!$B:$B,"&lt;="&amp;$D209),"na"))</f>
        <v>0</v>
      </c>
      <c r="G209" s="173">
        <f t="shared" si="0"/>
        <v>0</v>
      </c>
      <c r="H209" s="174" t="str">
        <f t="shared" si="1"/>
        <v>na</v>
      </c>
      <c r="I209" s="174" t="str">
        <f t="shared" si="2"/>
        <v>na</v>
      </c>
      <c r="J209" s="173">
        <f t="shared" ref="J209:L209" si="207">IF(E209="","",J$5)</f>
        <v>38</v>
      </c>
      <c r="K209" s="173">
        <f t="shared" si="207"/>
        <v>300</v>
      </c>
      <c r="L209" s="173">
        <f t="shared" si="207"/>
        <v>262</v>
      </c>
      <c r="M209" s="173">
        <f>IF($D209="","",'Total &amp; Budget Targets'!$G$44)</f>
        <v>0</v>
      </c>
      <c r="N209" s="173">
        <f>IF($D209="","",'Total &amp; Budget Targets'!$G$63)</f>
        <v>0</v>
      </c>
      <c r="O209" s="173">
        <f>IF($D209="","",'Total &amp; Budget Targets'!$G$69)</f>
        <v>0</v>
      </c>
    </row>
    <row r="210" spans="1:15" ht="15.75" customHeight="1" x14ac:dyDescent="0.2">
      <c r="A210" s="165">
        <f t="shared" si="3"/>
        <v>206</v>
      </c>
      <c r="B210" s="172"/>
      <c r="C210" s="169">
        <f>IF(D209="","",IF(D209+1&gt;'Date Info'!$D$21,"",D209+1))</f>
        <v>51926</v>
      </c>
      <c r="D210" s="172">
        <f>IFERROR(IF(C210="","",IF(EOMONTH(C210,0)&gt;'Date Info'!$D$21,'Date Info'!$D$21,EOMONTH(C210,0))),"")</f>
        <v>51956</v>
      </c>
      <c r="E210" s="173">
        <f>IF($D210="","",IFERROR(SUMIFS(Expenses!$E:$E,Expenses!$B:$B,"&gt;="&amp;$C210,Expenses!$B:$B,"&lt;="&amp;$D210),"na"))</f>
        <v>0</v>
      </c>
      <c r="F210" s="173">
        <f>IF($D210="","",IFERROR(SUMIFS(Income!$D:$D,Income!$B:$B,"&gt;="&amp;$C210,Income!$B:$B,"&lt;="&amp;$D210),"na"))</f>
        <v>0</v>
      </c>
      <c r="G210" s="173">
        <f t="shared" si="0"/>
        <v>0</v>
      </c>
      <c r="H210" s="174" t="str">
        <f t="shared" si="1"/>
        <v>na</v>
      </c>
      <c r="I210" s="174" t="str">
        <f t="shared" si="2"/>
        <v>na</v>
      </c>
      <c r="J210" s="173">
        <f t="shared" ref="J210:L210" si="208">IF(E210="","",J$5)</f>
        <v>38</v>
      </c>
      <c r="K210" s="173">
        <f t="shared" si="208"/>
        <v>300</v>
      </c>
      <c r="L210" s="173">
        <f t="shared" si="208"/>
        <v>262</v>
      </c>
      <c r="M210" s="173">
        <f>IF($D210="","",'Total &amp; Budget Targets'!$G$44)</f>
        <v>0</v>
      </c>
      <c r="N210" s="173">
        <f>IF($D210="","",'Total &amp; Budget Targets'!$G$63)</f>
        <v>0</v>
      </c>
      <c r="O210" s="173">
        <f>IF($D210="","",'Total &amp; Budget Targets'!$G$69)</f>
        <v>0</v>
      </c>
    </row>
    <row r="211" spans="1:15" ht="15.75" customHeight="1" x14ac:dyDescent="0.2">
      <c r="A211" s="165">
        <f t="shared" si="3"/>
        <v>207</v>
      </c>
      <c r="B211" s="172"/>
      <c r="C211" s="169">
        <f>IF(D210="","",IF(D210+1&gt;'Date Info'!$D$21,"",D210+1))</f>
        <v>51957</v>
      </c>
      <c r="D211" s="172">
        <f>IFERROR(IF(C211="","",IF(EOMONTH(C211,0)&gt;'Date Info'!$D$21,'Date Info'!$D$21,EOMONTH(C211,0))),"")</f>
        <v>51986</v>
      </c>
      <c r="E211" s="173">
        <f>IF($D211="","",IFERROR(SUMIFS(Expenses!$E:$E,Expenses!$B:$B,"&gt;="&amp;$C211,Expenses!$B:$B,"&lt;="&amp;$D211),"na"))</f>
        <v>0</v>
      </c>
      <c r="F211" s="173">
        <f>IF($D211="","",IFERROR(SUMIFS(Income!$D:$D,Income!$B:$B,"&gt;="&amp;$C211,Income!$B:$B,"&lt;="&amp;$D211),"na"))</f>
        <v>0</v>
      </c>
      <c r="G211" s="173">
        <f t="shared" si="0"/>
        <v>0</v>
      </c>
      <c r="H211" s="174" t="str">
        <f t="shared" si="1"/>
        <v>na</v>
      </c>
      <c r="I211" s="174" t="str">
        <f t="shared" si="2"/>
        <v>na</v>
      </c>
      <c r="J211" s="173">
        <f t="shared" ref="J211:L211" si="209">IF(E211="","",J$5)</f>
        <v>38</v>
      </c>
      <c r="K211" s="173">
        <f t="shared" si="209"/>
        <v>300</v>
      </c>
      <c r="L211" s="173">
        <f t="shared" si="209"/>
        <v>262</v>
      </c>
      <c r="M211" s="173">
        <f>IF($D211="","",'Total &amp; Budget Targets'!$G$44)</f>
        <v>0</v>
      </c>
      <c r="N211" s="173">
        <f>IF($D211="","",'Total &amp; Budget Targets'!$G$63)</f>
        <v>0</v>
      </c>
      <c r="O211" s="173">
        <f>IF($D211="","",'Total &amp; Budget Targets'!$G$69)</f>
        <v>0</v>
      </c>
    </row>
    <row r="212" spans="1:15" ht="15.75" customHeight="1" x14ac:dyDescent="0.2">
      <c r="A212" s="165">
        <f t="shared" si="3"/>
        <v>208</v>
      </c>
      <c r="B212" s="172"/>
      <c r="C212" s="169">
        <f>IF(D211="","",IF(D211+1&gt;'Date Info'!$D$21,"",D211+1))</f>
        <v>51987</v>
      </c>
      <c r="D212" s="172">
        <f>IFERROR(IF(C212="","",IF(EOMONTH(C212,0)&gt;'Date Info'!$D$21,'Date Info'!$D$21,EOMONTH(C212,0))),"")</f>
        <v>52017</v>
      </c>
      <c r="E212" s="173">
        <f>IF($D212="","",IFERROR(SUMIFS(Expenses!$E:$E,Expenses!$B:$B,"&gt;="&amp;$C212,Expenses!$B:$B,"&lt;="&amp;$D212),"na"))</f>
        <v>0</v>
      </c>
      <c r="F212" s="173">
        <f>IF($D212="","",IFERROR(SUMIFS(Income!$D:$D,Income!$B:$B,"&gt;="&amp;$C212,Income!$B:$B,"&lt;="&amp;$D212),"na"))</f>
        <v>0</v>
      </c>
      <c r="G212" s="173">
        <f t="shared" si="0"/>
        <v>0</v>
      </c>
      <c r="H212" s="174" t="str">
        <f t="shared" si="1"/>
        <v>na</v>
      </c>
      <c r="I212" s="174" t="str">
        <f t="shared" si="2"/>
        <v>na</v>
      </c>
      <c r="J212" s="173">
        <f t="shared" ref="J212:L212" si="210">IF(E212="","",J$5)</f>
        <v>38</v>
      </c>
      <c r="K212" s="173">
        <f t="shared" si="210"/>
        <v>300</v>
      </c>
      <c r="L212" s="173">
        <f t="shared" si="210"/>
        <v>262</v>
      </c>
      <c r="M212" s="173">
        <f>IF($D212="","",'Total &amp; Budget Targets'!$G$44)</f>
        <v>0</v>
      </c>
      <c r="N212" s="173">
        <f>IF($D212="","",'Total &amp; Budget Targets'!$G$63)</f>
        <v>0</v>
      </c>
      <c r="O212" s="173">
        <f>IF($D212="","",'Total &amp; Budget Targets'!$G$69)</f>
        <v>0</v>
      </c>
    </row>
    <row r="213" spans="1:15" ht="15.75" customHeight="1" x14ac:dyDescent="0.2">
      <c r="A213" s="165">
        <f t="shared" si="3"/>
        <v>209</v>
      </c>
      <c r="B213" s="172"/>
      <c r="C213" s="169">
        <f>IF(D212="","",IF(D212+1&gt;'Date Info'!$D$21,"",D212+1))</f>
        <v>52018</v>
      </c>
      <c r="D213" s="172">
        <f>IFERROR(IF(C213="","",IF(EOMONTH(C213,0)&gt;'Date Info'!$D$21,'Date Info'!$D$21,EOMONTH(C213,0))),"")</f>
        <v>52047</v>
      </c>
      <c r="E213" s="173">
        <f>IF($D213="","",IFERROR(SUMIFS(Expenses!$E:$E,Expenses!$B:$B,"&gt;="&amp;$C213,Expenses!$B:$B,"&lt;="&amp;$D213),"na"))</f>
        <v>0</v>
      </c>
      <c r="F213" s="173">
        <f>IF($D213="","",IFERROR(SUMIFS(Income!$D:$D,Income!$B:$B,"&gt;="&amp;$C213,Income!$B:$B,"&lt;="&amp;$D213),"na"))</f>
        <v>0</v>
      </c>
      <c r="G213" s="173">
        <f t="shared" si="0"/>
        <v>0</v>
      </c>
      <c r="H213" s="174" t="str">
        <f t="shared" si="1"/>
        <v>na</v>
      </c>
      <c r="I213" s="174" t="str">
        <f t="shared" si="2"/>
        <v>na</v>
      </c>
      <c r="J213" s="173">
        <f t="shared" ref="J213:L213" si="211">IF(E213="","",J$5)</f>
        <v>38</v>
      </c>
      <c r="K213" s="173">
        <f t="shared" si="211"/>
        <v>300</v>
      </c>
      <c r="L213" s="173">
        <f t="shared" si="211"/>
        <v>262</v>
      </c>
      <c r="M213" s="173">
        <f>IF($D213="","",'Total &amp; Budget Targets'!$G$44)</f>
        <v>0</v>
      </c>
      <c r="N213" s="173">
        <f>IF($D213="","",'Total &amp; Budget Targets'!$G$63)</f>
        <v>0</v>
      </c>
      <c r="O213" s="173">
        <f>IF($D213="","",'Total &amp; Budget Targets'!$G$69)</f>
        <v>0</v>
      </c>
    </row>
    <row r="214" spans="1:15" ht="15.75" customHeight="1" x14ac:dyDescent="0.2">
      <c r="A214" s="165">
        <f t="shared" si="3"/>
        <v>210</v>
      </c>
      <c r="B214" s="172"/>
      <c r="C214" s="169">
        <f>IF(D213="","",IF(D213+1&gt;'Date Info'!$D$21,"",D213+1))</f>
        <v>52048</v>
      </c>
      <c r="D214" s="172">
        <f>IFERROR(IF(C214="","",IF(EOMONTH(C214,0)&gt;'Date Info'!$D$21,'Date Info'!$D$21,EOMONTH(C214,0))),"")</f>
        <v>52078</v>
      </c>
      <c r="E214" s="173">
        <f>IF($D214="","",IFERROR(SUMIFS(Expenses!$E:$E,Expenses!$B:$B,"&gt;="&amp;$C214,Expenses!$B:$B,"&lt;="&amp;$D214),"na"))</f>
        <v>0</v>
      </c>
      <c r="F214" s="173">
        <f>IF($D214="","",IFERROR(SUMIFS(Income!$D:$D,Income!$B:$B,"&gt;="&amp;$C214,Income!$B:$B,"&lt;="&amp;$D214),"na"))</f>
        <v>0</v>
      </c>
      <c r="G214" s="173">
        <f t="shared" si="0"/>
        <v>0</v>
      </c>
      <c r="H214" s="174" t="str">
        <f t="shared" si="1"/>
        <v>na</v>
      </c>
      <c r="I214" s="174" t="str">
        <f t="shared" si="2"/>
        <v>na</v>
      </c>
      <c r="J214" s="173">
        <f t="shared" ref="J214:L214" si="212">IF(E214="","",J$5)</f>
        <v>38</v>
      </c>
      <c r="K214" s="173">
        <f t="shared" si="212"/>
        <v>300</v>
      </c>
      <c r="L214" s="173">
        <f t="shared" si="212"/>
        <v>262</v>
      </c>
      <c r="M214" s="173">
        <f>IF($D214="","",'Total &amp; Budget Targets'!$G$44)</f>
        <v>0</v>
      </c>
      <c r="N214" s="173">
        <f>IF($D214="","",'Total &amp; Budget Targets'!$G$63)</f>
        <v>0</v>
      </c>
      <c r="O214" s="173">
        <f>IF($D214="","",'Total &amp; Budget Targets'!$G$69)</f>
        <v>0</v>
      </c>
    </row>
    <row r="215" spans="1:15" ht="15.75" customHeight="1" x14ac:dyDescent="0.2">
      <c r="A215" s="165">
        <f t="shared" si="3"/>
        <v>211</v>
      </c>
      <c r="B215" s="172"/>
      <c r="C215" s="169">
        <f>IF(D214="","",IF(D214+1&gt;'Date Info'!$D$21,"",D214+1))</f>
        <v>52079</v>
      </c>
      <c r="D215" s="172">
        <f>IFERROR(IF(C215="","",IF(EOMONTH(C215,0)&gt;'Date Info'!$D$21,'Date Info'!$D$21,EOMONTH(C215,0))),"")</f>
        <v>52109</v>
      </c>
      <c r="E215" s="173">
        <f>IF($D215="","",IFERROR(SUMIFS(Expenses!$E:$E,Expenses!$B:$B,"&gt;="&amp;$C215,Expenses!$B:$B,"&lt;="&amp;$D215),"na"))</f>
        <v>0</v>
      </c>
      <c r="F215" s="173">
        <f>IF($D215="","",IFERROR(SUMIFS(Income!$D:$D,Income!$B:$B,"&gt;="&amp;$C215,Income!$B:$B,"&lt;="&amp;$D215),"na"))</f>
        <v>0</v>
      </c>
      <c r="G215" s="173">
        <f t="shared" si="0"/>
        <v>0</v>
      </c>
      <c r="H215" s="174" t="str">
        <f t="shared" si="1"/>
        <v>na</v>
      </c>
      <c r="I215" s="174" t="str">
        <f t="shared" si="2"/>
        <v>na</v>
      </c>
      <c r="J215" s="173">
        <f t="shared" ref="J215:L215" si="213">IF(E215="","",J$5)</f>
        <v>38</v>
      </c>
      <c r="K215" s="173">
        <f t="shared" si="213"/>
        <v>300</v>
      </c>
      <c r="L215" s="173">
        <f t="shared" si="213"/>
        <v>262</v>
      </c>
      <c r="M215" s="173">
        <f>IF($D215="","",'Total &amp; Budget Targets'!$G$44)</f>
        <v>0</v>
      </c>
      <c r="N215" s="173">
        <f>IF($D215="","",'Total &amp; Budget Targets'!$G$63)</f>
        <v>0</v>
      </c>
      <c r="O215" s="173">
        <f>IF($D215="","",'Total &amp; Budget Targets'!$G$69)</f>
        <v>0</v>
      </c>
    </row>
    <row r="216" spans="1:15" ht="15.75" customHeight="1" x14ac:dyDescent="0.2">
      <c r="A216" s="165">
        <f t="shared" si="3"/>
        <v>212</v>
      </c>
      <c r="B216" s="172"/>
      <c r="C216" s="169">
        <f>IF(D215="","",IF(D215+1&gt;'Date Info'!$D$21,"",D215+1))</f>
        <v>52110</v>
      </c>
      <c r="D216" s="172">
        <f>IFERROR(IF(C216="","",IF(EOMONTH(C216,0)&gt;'Date Info'!$D$21,'Date Info'!$D$21,EOMONTH(C216,0))),"")</f>
        <v>52139</v>
      </c>
      <c r="E216" s="173">
        <f>IF($D216="","",IFERROR(SUMIFS(Expenses!$E:$E,Expenses!$B:$B,"&gt;="&amp;$C216,Expenses!$B:$B,"&lt;="&amp;$D216),"na"))</f>
        <v>0</v>
      </c>
      <c r="F216" s="173">
        <f>IF($D216="","",IFERROR(SUMIFS(Income!$D:$D,Income!$B:$B,"&gt;="&amp;$C216,Income!$B:$B,"&lt;="&amp;$D216),"na"))</f>
        <v>0</v>
      </c>
      <c r="G216" s="173">
        <f t="shared" si="0"/>
        <v>0</v>
      </c>
      <c r="H216" s="174" t="str">
        <f t="shared" si="1"/>
        <v>na</v>
      </c>
      <c r="I216" s="174" t="str">
        <f t="shared" si="2"/>
        <v>na</v>
      </c>
      <c r="J216" s="173">
        <f t="shared" ref="J216:L216" si="214">IF(E216="","",J$5)</f>
        <v>38</v>
      </c>
      <c r="K216" s="173">
        <f t="shared" si="214"/>
        <v>300</v>
      </c>
      <c r="L216" s="173">
        <f t="shared" si="214"/>
        <v>262</v>
      </c>
      <c r="M216" s="173">
        <f>IF($D216="","",'Total &amp; Budget Targets'!$G$44)</f>
        <v>0</v>
      </c>
      <c r="N216" s="173">
        <f>IF($D216="","",'Total &amp; Budget Targets'!$G$63)</f>
        <v>0</v>
      </c>
      <c r="O216" s="173">
        <f>IF($D216="","",'Total &amp; Budget Targets'!$G$69)</f>
        <v>0</v>
      </c>
    </row>
    <row r="217" spans="1:15" ht="15.75" customHeight="1" x14ac:dyDescent="0.2">
      <c r="A217" s="165">
        <f t="shared" si="3"/>
        <v>213</v>
      </c>
      <c r="B217" s="172"/>
      <c r="C217" s="169">
        <f>IF(D216="","",IF(D216+1&gt;'Date Info'!$D$21,"",D216+1))</f>
        <v>52140</v>
      </c>
      <c r="D217" s="172">
        <f>IFERROR(IF(C217="","",IF(EOMONTH(C217,0)&gt;'Date Info'!$D$21,'Date Info'!$D$21,EOMONTH(C217,0))),"")</f>
        <v>52170</v>
      </c>
      <c r="E217" s="173">
        <f>IF($D217="","",IFERROR(SUMIFS(Expenses!$E:$E,Expenses!$B:$B,"&gt;="&amp;$C217,Expenses!$B:$B,"&lt;="&amp;$D217),"na"))</f>
        <v>0</v>
      </c>
      <c r="F217" s="173">
        <f>IF($D217="","",IFERROR(SUMIFS(Income!$D:$D,Income!$B:$B,"&gt;="&amp;$C217,Income!$B:$B,"&lt;="&amp;$D217),"na"))</f>
        <v>0</v>
      </c>
      <c r="G217" s="173">
        <f t="shared" si="0"/>
        <v>0</v>
      </c>
      <c r="H217" s="174" t="str">
        <f t="shared" si="1"/>
        <v>na</v>
      </c>
      <c r="I217" s="174" t="str">
        <f t="shared" si="2"/>
        <v>na</v>
      </c>
      <c r="J217" s="173">
        <f t="shared" ref="J217:L217" si="215">IF(E217="","",J$5)</f>
        <v>38</v>
      </c>
      <c r="K217" s="173">
        <f t="shared" si="215"/>
        <v>300</v>
      </c>
      <c r="L217" s="173">
        <f t="shared" si="215"/>
        <v>262</v>
      </c>
      <c r="M217" s="173">
        <f>IF($D217="","",'Total &amp; Budget Targets'!$G$44)</f>
        <v>0</v>
      </c>
      <c r="N217" s="173">
        <f>IF($D217="","",'Total &amp; Budget Targets'!$G$63)</f>
        <v>0</v>
      </c>
      <c r="O217" s="173">
        <f>IF($D217="","",'Total &amp; Budget Targets'!$G$69)</f>
        <v>0</v>
      </c>
    </row>
    <row r="218" spans="1:15" ht="15.75" customHeight="1" x14ac:dyDescent="0.2">
      <c r="A218" s="165">
        <f t="shared" si="3"/>
        <v>214</v>
      </c>
      <c r="B218" s="172"/>
      <c r="C218" s="169">
        <f>IF(D217="","",IF(D217+1&gt;'Date Info'!$D$21,"",D217+1))</f>
        <v>52171</v>
      </c>
      <c r="D218" s="172">
        <f>IFERROR(IF(C218="","",IF(EOMONTH(C218,0)&gt;'Date Info'!$D$21,'Date Info'!$D$21,EOMONTH(C218,0))),"")</f>
        <v>52200</v>
      </c>
      <c r="E218" s="173">
        <f>IF($D218="","",IFERROR(SUMIFS(Expenses!$E:$E,Expenses!$B:$B,"&gt;="&amp;$C218,Expenses!$B:$B,"&lt;="&amp;$D218),"na"))</f>
        <v>0</v>
      </c>
      <c r="F218" s="173">
        <f>IF($D218="","",IFERROR(SUMIFS(Income!$D:$D,Income!$B:$B,"&gt;="&amp;$C218,Income!$B:$B,"&lt;="&amp;$D218),"na"))</f>
        <v>0</v>
      </c>
      <c r="G218" s="173">
        <f t="shared" si="0"/>
        <v>0</v>
      </c>
      <c r="H218" s="174" t="str">
        <f t="shared" si="1"/>
        <v>na</v>
      </c>
      <c r="I218" s="174" t="str">
        <f t="shared" si="2"/>
        <v>na</v>
      </c>
      <c r="J218" s="173">
        <f t="shared" ref="J218:L218" si="216">IF(E218="","",J$5)</f>
        <v>38</v>
      </c>
      <c r="K218" s="173">
        <f t="shared" si="216"/>
        <v>300</v>
      </c>
      <c r="L218" s="173">
        <f t="shared" si="216"/>
        <v>262</v>
      </c>
      <c r="M218" s="173">
        <f>IF($D218="","",'Total &amp; Budget Targets'!$G$44)</f>
        <v>0</v>
      </c>
      <c r="N218" s="173">
        <f>IF($D218="","",'Total &amp; Budget Targets'!$G$63)</f>
        <v>0</v>
      </c>
      <c r="O218" s="173">
        <f>IF($D218="","",'Total &amp; Budget Targets'!$G$69)</f>
        <v>0</v>
      </c>
    </row>
    <row r="219" spans="1:15" ht="15.75" customHeight="1" x14ac:dyDescent="0.2">
      <c r="A219" s="165">
        <f t="shared" si="3"/>
        <v>215</v>
      </c>
      <c r="B219" s="172"/>
      <c r="C219" s="169">
        <f>IF(D218="","",IF(D218+1&gt;'Date Info'!$D$21,"",D218+1))</f>
        <v>52201</v>
      </c>
      <c r="D219" s="172">
        <f>IFERROR(IF(C219="","",IF(EOMONTH(C219,0)&gt;'Date Info'!$D$21,'Date Info'!$D$21,EOMONTH(C219,0))),"")</f>
        <v>52231</v>
      </c>
      <c r="E219" s="173">
        <f>IF($D219="","",IFERROR(SUMIFS(Expenses!$E:$E,Expenses!$B:$B,"&gt;="&amp;$C219,Expenses!$B:$B,"&lt;="&amp;$D219),"na"))</f>
        <v>0</v>
      </c>
      <c r="F219" s="173">
        <f>IF($D219="","",IFERROR(SUMIFS(Income!$D:$D,Income!$B:$B,"&gt;="&amp;$C219,Income!$B:$B,"&lt;="&amp;$D219),"na"))</f>
        <v>0</v>
      </c>
      <c r="G219" s="173">
        <f t="shared" si="0"/>
        <v>0</v>
      </c>
      <c r="H219" s="174" t="str">
        <f t="shared" si="1"/>
        <v>na</v>
      </c>
      <c r="I219" s="174" t="str">
        <f t="shared" si="2"/>
        <v>na</v>
      </c>
      <c r="J219" s="173">
        <f t="shared" ref="J219:L219" si="217">IF(E219="","",J$5)</f>
        <v>38</v>
      </c>
      <c r="K219" s="173">
        <f t="shared" si="217"/>
        <v>300</v>
      </c>
      <c r="L219" s="173">
        <f t="shared" si="217"/>
        <v>262</v>
      </c>
      <c r="M219" s="173">
        <f>IF($D219="","",'Total &amp; Budget Targets'!$G$44)</f>
        <v>0</v>
      </c>
      <c r="N219" s="173">
        <f>IF($D219="","",'Total &amp; Budget Targets'!$G$63)</f>
        <v>0</v>
      </c>
      <c r="O219" s="173">
        <f>IF($D219="","",'Total &amp; Budget Targets'!$G$69)</f>
        <v>0</v>
      </c>
    </row>
    <row r="220" spans="1:15" ht="15.75" customHeight="1" x14ac:dyDescent="0.2">
      <c r="A220" s="165">
        <f t="shared" si="3"/>
        <v>216</v>
      </c>
      <c r="B220" s="172"/>
      <c r="C220" s="169">
        <f>IF(D219="","",IF(D219+1&gt;'Date Info'!$D$21,"",D219+1))</f>
        <v>52232</v>
      </c>
      <c r="D220" s="172">
        <f>IFERROR(IF(C220="","",IF(EOMONTH(C220,0)&gt;'Date Info'!$D$21,'Date Info'!$D$21,EOMONTH(C220,0))),"")</f>
        <v>52262</v>
      </c>
      <c r="E220" s="173">
        <f>IF($D220="","",IFERROR(SUMIFS(Expenses!$E:$E,Expenses!$B:$B,"&gt;="&amp;$C220,Expenses!$B:$B,"&lt;="&amp;$D220),"na"))</f>
        <v>0</v>
      </c>
      <c r="F220" s="173">
        <f>IF($D220="","",IFERROR(SUMIFS(Income!$D:$D,Income!$B:$B,"&gt;="&amp;$C220,Income!$B:$B,"&lt;="&amp;$D220),"na"))</f>
        <v>0</v>
      </c>
      <c r="G220" s="173">
        <f t="shared" si="0"/>
        <v>0</v>
      </c>
      <c r="H220" s="174" t="str">
        <f t="shared" si="1"/>
        <v>na</v>
      </c>
      <c r="I220" s="174" t="str">
        <f t="shared" si="2"/>
        <v>na</v>
      </c>
      <c r="J220" s="173">
        <f t="shared" ref="J220:L220" si="218">IF(E220="","",J$5)</f>
        <v>38</v>
      </c>
      <c r="K220" s="173">
        <f t="shared" si="218"/>
        <v>300</v>
      </c>
      <c r="L220" s="173">
        <f t="shared" si="218"/>
        <v>262</v>
      </c>
      <c r="M220" s="173">
        <f>IF($D220="","",'Total &amp; Budget Targets'!$G$44)</f>
        <v>0</v>
      </c>
      <c r="N220" s="173">
        <f>IF($D220="","",'Total &amp; Budget Targets'!$G$63)</f>
        <v>0</v>
      </c>
      <c r="O220" s="173">
        <f>IF($D220="","",'Total &amp; Budget Targets'!$G$69)</f>
        <v>0</v>
      </c>
    </row>
    <row r="221" spans="1:15" ht="15.75" customHeight="1" x14ac:dyDescent="0.2">
      <c r="A221" s="165">
        <f t="shared" si="3"/>
        <v>217</v>
      </c>
      <c r="B221" s="172"/>
      <c r="C221" s="169">
        <f>IF(D220="","",IF(D220+1&gt;'Date Info'!$D$21,"",D220+1))</f>
        <v>52263</v>
      </c>
      <c r="D221" s="172">
        <f>IFERROR(IF(C221="","",IF(EOMONTH(C221,0)&gt;'Date Info'!$D$21,'Date Info'!$D$21,EOMONTH(C221,0))),"")</f>
        <v>52290</v>
      </c>
      <c r="E221" s="173">
        <f>IF($D221="","",IFERROR(SUMIFS(Expenses!$E:$E,Expenses!$B:$B,"&gt;="&amp;$C221,Expenses!$B:$B,"&lt;="&amp;$D221),"na"))</f>
        <v>0</v>
      </c>
      <c r="F221" s="173">
        <f>IF($D221="","",IFERROR(SUMIFS(Income!$D:$D,Income!$B:$B,"&gt;="&amp;$C221,Income!$B:$B,"&lt;="&amp;$D221),"na"))</f>
        <v>0</v>
      </c>
      <c r="G221" s="173">
        <f t="shared" si="0"/>
        <v>0</v>
      </c>
      <c r="H221" s="174" t="str">
        <f t="shared" si="1"/>
        <v>na</v>
      </c>
      <c r="I221" s="174" t="str">
        <f t="shared" si="2"/>
        <v>na</v>
      </c>
      <c r="J221" s="173">
        <f t="shared" ref="J221:L221" si="219">IF(E221="","",J$5)</f>
        <v>38</v>
      </c>
      <c r="K221" s="173">
        <f t="shared" si="219"/>
        <v>300</v>
      </c>
      <c r="L221" s="173">
        <f t="shared" si="219"/>
        <v>262</v>
      </c>
      <c r="M221" s="173">
        <f>IF($D221="","",'Total &amp; Budget Targets'!$G$44)</f>
        <v>0</v>
      </c>
      <c r="N221" s="173">
        <f>IF($D221="","",'Total &amp; Budget Targets'!$G$63)</f>
        <v>0</v>
      </c>
      <c r="O221" s="173">
        <f>IF($D221="","",'Total &amp; Budget Targets'!$G$69)</f>
        <v>0</v>
      </c>
    </row>
    <row r="222" spans="1:15" ht="15.75" customHeight="1" x14ac:dyDescent="0.2">
      <c r="A222" s="165">
        <f t="shared" si="3"/>
        <v>218</v>
      </c>
      <c r="B222" s="172"/>
      <c r="C222" s="169">
        <f>IF(D221="","",IF(D221+1&gt;'Date Info'!$D$21,"",D221+1))</f>
        <v>52291</v>
      </c>
      <c r="D222" s="172">
        <f>IFERROR(IF(C222="","",IF(EOMONTH(C222,0)&gt;'Date Info'!$D$21,'Date Info'!$D$21,EOMONTH(C222,0))),"")</f>
        <v>52321</v>
      </c>
      <c r="E222" s="173">
        <f>IF($D222="","",IFERROR(SUMIFS(Expenses!$E:$E,Expenses!$B:$B,"&gt;="&amp;$C222,Expenses!$B:$B,"&lt;="&amp;$D222),"na"))</f>
        <v>0</v>
      </c>
      <c r="F222" s="173">
        <f>IF($D222="","",IFERROR(SUMIFS(Income!$D:$D,Income!$B:$B,"&gt;="&amp;$C222,Income!$B:$B,"&lt;="&amp;$D222),"na"))</f>
        <v>0</v>
      </c>
      <c r="G222" s="173">
        <f t="shared" si="0"/>
        <v>0</v>
      </c>
      <c r="H222" s="174" t="str">
        <f t="shared" si="1"/>
        <v>na</v>
      </c>
      <c r="I222" s="174" t="str">
        <f t="shared" si="2"/>
        <v>na</v>
      </c>
      <c r="J222" s="173">
        <f t="shared" ref="J222:L222" si="220">IF(E222="","",J$5)</f>
        <v>38</v>
      </c>
      <c r="K222" s="173">
        <f t="shared" si="220"/>
        <v>300</v>
      </c>
      <c r="L222" s="173">
        <f t="shared" si="220"/>
        <v>262</v>
      </c>
      <c r="M222" s="173">
        <f>IF($D222="","",'Total &amp; Budget Targets'!$G$44)</f>
        <v>0</v>
      </c>
      <c r="N222" s="173">
        <f>IF($D222="","",'Total &amp; Budget Targets'!$G$63)</f>
        <v>0</v>
      </c>
      <c r="O222" s="173">
        <f>IF($D222="","",'Total &amp; Budget Targets'!$G$69)</f>
        <v>0</v>
      </c>
    </row>
    <row r="223" spans="1:15" ht="15.75" customHeight="1" x14ac:dyDescent="0.2">
      <c r="A223" s="165">
        <f t="shared" si="3"/>
        <v>219</v>
      </c>
      <c r="B223" s="172"/>
      <c r="C223" s="169">
        <f>IF(D222="","",IF(D222+1&gt;'Date Info'!$D$21,"",D222+1))</f>
        <v>52322</v>
      </c>
      <c r="D223" s="172">
        <f>IFERROR(IF(C223="","",IF(EOMONTH(C223,0)&gt;'Date Info'!$D$21,'Date Info'!$D$21,EOMONTH(C223,0))),"")</f>
        <v>52351</v>
      </c>
      <c r="E223" s="173">
        <f>IF($D223="","",IFERROR(SUMIFS(Expenses!$E:$E,Expenses!$B:$B,"&gt;="&amp;$C223,Expenses!$B:$B,"&lt;="&amp;$D223),"na"))</f>
        <v>0</v>
      </c>
      <c r="F223" s="173">
        <f>IF($D223="","",IFERROR(SUMIFS(Income!$D:$D,Income!$B:$B,"&gt;="&amp;$C223,Income!$B:$B,"&lt;="&amp;$D223),"na"))</f>
        <v>0</v>
      </c>
      <c r="G223" s="173">
        <f t="shared" si="0"/>
        <v>0</v>
      </c>
      <c r="H223" s="174" t="str">
        <f t="shared" si="1"/>
        <v>na</v>
      </c>
      <c r="I223" s="174" t="str">
        <f t="shared" si="2"/>
        <v>na</v>
      </c>
      <c r="J223" s="173">
        <f t="shared" ref="J223:L223" si="221">IF(E223="","",J$5)</f>
        <v>38</v>
      </c>
      <c r="K223" s="173">
        <f t="shared" si="221"/>
        <v>300</v>
      </c>
      <c r="L223" s="173">
        <f t="shared" si="221"/>
        <v>262</v>
      </c>
      <c r="M223" s="173">
        <f>IF($D223="","",'Total &amp; Budget Targets'!$G$44)</f>
        <v>0</v>
      </c>
      <c r="N223" s="173">
        <f>IF($D223="","",'Total &amp; Budget Targets'!$G$63)</f>
        <v>0</v>
      </c>
      <c r="O223" s="173">
        <f>IF($D223="","",'Total &amp; Budget Targets'!$G$69)</f>
        <v>0</v>
      </c>
    </row>
    <row r="224" spans="1:15" ht="15.75" customHeight="1" x14ac:dyDescent="0.2">
      <c r="A224" s="165">
        <f t="shared" si="3"/>
        <v>220</v>
      </c>
      <c r="B224" s="172"/>
      <c r="C224" s="169">
        <f>IF(D223="","",IF(D223+1&gt;'Date Info'!$D$21,"",D223+1))</f>
        <v>52352</v>
      </c>
      <c r="D224" s="172">
        <f>IFERROR(IF(C224="","",IF(EOMONTH(C224,0)&gt;'Date Info'!$D$21,'Date Info'!$D$21,EOMONTH(C224,0))),"")</f>
        <v>52382</v>
      </c>
      <c r="E224" s="173">
        <f>IF($D224="","",IFERROR(SUMIFS(Expenses!$E:$E,Expenses!$B:$B,"&gt;="&amp;$C224,Expenses!$B:$B,"&lt;="&amp;$D224),"na"))</f>
        <v>0</v>
      </c>
      <c r="F224" s="173">
        <f>IF($D224="","",IFERROR(SUMIFS(Income!$D:$D,Income!$B:$B,"&gt;="&amp;$C224,Income!$B:$B,"&lt;="&amp;$D224),"na"))</f>
        <v>0</v>
      </c>
      <c r="G224" s="173">
        <f t="shared" si="0"/>
        <v>0</v>
      </c>
      <c r="H224" s="174" t="str">
        <f t="shared" si="1"/>
        <v>na</v>
      </c>
      <c r="I224" s="174" t="str">
        <f t="shared" si="2"/>
        <v>na</v>
      </c>
      <c r="J224" s="173">
        <f t="shared" ref="J224:L224" si="222">IF(E224="","",J$5)</f>
        <v>38</v>
      </c>
      <c r="K224" s="173">
        <f t="shared" si="222"/>
        <v>300</v>
      </c>
      <c r="L224" s="173">
        <f t="shared" si="222"/>
        <v>262</v>
      </c>
      <c r="M224" s="173">
        <f>IF($D224="","",'Total &amp; Budget Targets'!$G$44)</f>
        <v>0</v>
      </c>
      <c r="N224" s="173">
        <f>IF($D224="","",'Total &amp; Budget Targets'!$G$63)</f>
        <v>0</v>
      </c>
      <c r="O224" s="173">
        <f>IF($D224="","",'Total &amp; Budget Targets'!$G$69)</f>
        <v>0</v>
      </c>
    </row>
    <row r="225" spans="1:15" ht="15.75" customHeight="1" x14ac:dyDescent="0.2">
      <c r="A225" s="165">
        <f t="shared" si="3"/>
        <v>221</v>
      </c>
      <c r="B225" s="172"/>
      <c r="C225" s="169">
        <f>IF(D224="","",IF(D224+1&gt;'Date Info'!$D$21,"",D224+1))</f>
        <v>52383</v>
      </c>
      <c r="D225" s="172">
        <f>IFERROR(IF(C225="","",IF(EOMONTH(C225,0)&gt;'Date Info'!$D$21,'Date Info'!$D$21,EOMONTH(C225,0))),"")</f>
        <v>52412</v>
      </c>
      <c r="E225" s="173">
        <f>IF($D225="","",IFERROR(SUMIFS(Expenses!$E:$E,Expenses!$B:$B,"&gt;="&amp;$C225,Expenses!$B:$B,"&lt;="&amp;$D225),"na"))</f>
        <v>0</v>
      </c>
      <c r="F225" s="173">
        <f>IF($D225="","",IFERROR(SUMIFS(Income!$D:$D,Income!$B:$B,"&gt;="&amp;$C225,Income!$B:$B,"&lt;="&amp;$D225),"na"))</f>
        <v>0</v>
      </c>
      <c r="G225" s="173">
        <f t="shared" si="0"/>
        <v>0</v>
      </c>
      <c r="H225" s="174" t="str">
        <f t="shared" si="1"/>
        <v>na</v>
      </c>
      <c r="I225" s="174" t="str">
        <f t="shared" si="2"/>
        <v>na</v>
      </c>
      <c r="J225" s="173">
        <f t="shared" ref="J225:L225" si="223">IF(E225="","",J$5)</f>
        <v>38</v>
      </c>
      <c r="K225" s="173">
        <f t="shared" si="223"/>
        <v>300</v>
      </c>
      <c r="L225" s="173">
        <f t="shared" si="223"/>
        <v>262</v>
      </c>
      <c r="M225" s="173">
        <f>IF($D225="","",'Total &amp; Budget Targets'!$G$44)</f>
        <v>0</v>
      </c>
      <c r="N225" s="173">
        <f>IF($D225="","",'Total &amp; Budget Targets'!$G$63)</f>
        <v>0</v>
      </c>
      <c r="O225" s="173">
        <f>IF($D225="","",'Total &amp; Budget Targets'!$G$69)</f>
        <v>0</v>
      </c>
    </row>
    <row r="226" spans="1:15" ht="15.75" customHeight="1" x14ac:dyDescent="0.2">
      <c r="A226" s="165">
        <f t="shared" si="3"/>
        <v>222</v>
      </c>
      <c r="B226" s="172"/>
      <c r="C226" s="169">
        <f>IF(D225="","",IF(D225+1&gt;'Date Info'!$D$21,"",D225+1))</f>
        <v>52413</v>
      </c>
      <c r="D226" s="172">
        <f>IFERROR(IF(C226="","",IF(EOMONTH(C226,0)&gt;'Date Info'!$D$21,'Date Info'!$D$21,EOMONTH(C226,0))),"")</f>
        <v>52443</v>
      </c>
      <c r="E226" s="173">
        <f>IF($D226="","",IFERROR(SUMIFS(Expenses!$E:$E,Expenses!$B:$B,"&gt;="&amp;$C226,Expenses!$B:$B,"&lt;="&amp;$D226),"na"))</f>
        <v>0</v>
      </c>
      <c r="F226" s="173">
        <f>IF($D226="","",IFERROR(SUMIFS(Income!$D:$D,Income!$B:$B,"&gt;="&amp;$C226,Income!$B:$B,"&lt;="&amp;$D226),"na"))</f>
        <v>0</v>
      </c>
      <c r="G226" s="173">
        <f t="shared" si="0"/>
        <v>0</v>
      </c>
      <c r="H226" s="174" t="str">
        <f t="shared" si="1"/>
        <v>na</v>
      </c>
      <c r="I226" s="174" t="str">
        <f t="shared" si="2"/>
        <v>na</v>
      </c>
      <c r="J226" s="173">
        <f t="shared" ref="J226:L226" si="224">IF(E226="","",J$5)</f>
        <v>38</v>
      </c>
      <c r="K226" s="173">
        <f t="shared" si="224"/>
        <v>300</v>
      </c>
      <c r="L226" s="173">
        <f t="shared" si="224"/>
        <v>262</v>
      </c>
      <c r="M226" s="173">
        <f>IF($D226="","",'Total &amp; Budget Targets'!$G$44)</f>
        <v>0</v>
      </c>
      <c r="N226" s="173">
        <f>IF($D226="","",'Total &amp; Budget Targets'!$G$63)</f>
        <v>0</v>
      </c>
      <c r="O226" s="173">
        <f>IF($D226="","",'Total &amp; Budget Targets'!$G$69)</f>
        <v>0</v>
      </c>
    </row>
    <row r="227" spans="1:15" ht="15.75" customHeight="1" x14ac:dyDescent="0.2">
      <c r="A227" s="165">
        <f t="shared" si="3"/>
        <v>223</v>
      </c>
      <c r="B227" s="172"/>
      <c r="C227" s="169">
        <f>IF(D226="","",IF(D226+1&gt;'Date Info'!$D$21,"",D226+1))</f>
        <v>52444</v>
      </c>
      <c r="D227" s="172">
        <f>IFERROR(IF(C227="","",IF(EOMONTH(C227,0)&gt;'Date Info'!$D$21,'Date Info'!$D$21,EOMONTH(C227,0))),"")</f>
        <v>52474</v>
      </c>
      <c r="E227" s="173">
        <f>IF($D227="","",IFERROR(SUMIFS(Expenses!$E:$E,Expenses!$B:$B,"&gt;="&amp;$C227,Expenses!$B:$B,"&lt;="&amp;$D227),"na"))</f>
        <v>0</v>
      </c>
      <c r="F227" s="173">
        <f>IF($D227="","",IFERROR(SUMIFS(Income!$D:$D,Income!$B:$B,"&gt;="&amp;$C227,Income!$B:$B,"&lt;="&amp;$D227),"na"))</f>
        <v>0</v>
      </c>
      <c r="G227" s="173">
        <f t="shared" si="0"/>
        <v>0</v>
      </c>
      <c r="H227" s="174" t="str">
        <f t="shared" si="1"/>
        <v>na</v>
      </c>
      <c r="I227" s="174" t="str">
        <f t="shared" si="2"/>
        <v>na</v>
      </c>
      <c r="J227" s="173">
        <f t="shared" ref="J227:L227" si="225">IF(E227="","",J$5)</f>
        <v>38</v>
      </c>
      <c r="K227" s="173">
        <f t="shared" si="225"/>
        <v>300</v>
      </c>
      <c r="L227" s="173">
        <f t="shared" si="225"/>
        <v>262</v>
      </c>
      <c r="M227" s="173">
        <f>IF($D227="","",'Total &amp; Budget Targets'!$G$44)</f>
        <v>0</v>
      </c>
      <c r="N227" s="173">
        <f>IF($D227="","",'Total &amp; Budget Targets'!$G$63)</f>
        <v>0</v>
      </c>
      <c r="O227" s="173">
        <f>IF($D227="","",'Total &amp; Budget Targets'!$G$69)</f>
        <v>0</v>
      </c>
    </row>
    <row r="228" spans="1:15" ht="15.75" customHeight="1" x14ac:dyDescent="0.2">
      <c r="A228" s="165">
        <f t="shared" si="3"/>
        <v>224</v>
      </c>
      <c r="B228" s="172"/>
      <c r="C228" s="169">
        <f>IF(D227="","",IF(D227+1&gt;'Date Info'!$D$21,"",D227+1))</f>
        <v>52475</v>
      </c>
      <c r="D228" s="172">
        <f>IFERROR(IF(C228="","",IF(EOMONTH(C228,0)&gt;'Date Info'!$D$21,'Date Info'!$D$21,EOMONTH(C228,0))),"")</f>
        <v>52504</v>
      </c>
      <c r="E228" s="173">
        <f>IF($D228="","",IFERROR(SUMIFS(Expenses!$E:$E,Expenses!$B:$B,"&gt;="&amp;$C228,Expenses!$B:$B,"&lt;="&amp;$D228),"na"))</f>
        <v>0</v>
      </c>
      <c r="F228" s="173">
        <f>IF($D228="","",IFERROR(SUMIFS(Income!$D:$D,Income!$B:$B,"&gt;="&amp;$C228,Income!$B:$B,"&lt;="&amp;$D228),"na"))</f>
        <v>0</v>
      </c>
      <c r="G228" s="173">
        <f t="shared" si="0"/>
        <v>0</v>
      </c>
      <c r="H228" s="174" t="str">
        <f t="shared" si="1"/>
        <v>na</v>
      </c>
      <c r="I228" s="174" t="str">
        <f t="shared" si="2"/>
        <v>na</v>
      </c>
      <c r="J228" s="173">
        <f t="shared" ref="J228:L228" si="226">IF(E228="","",J$5)</f>
        <v>38</v>
      </c>
      <c r="K228" s="173">
        <f t="shared" si="226"/>
        <v>300</v>
      </c>
      <c r="L228" s="173">
        <f t="shared" si="226"/>
        <v>262</v>
      </c>
      <c r="M228" s="173">
        <f>IF($D228="","",'Total &amp; Budget Targets'!$G$44)</f>
        <v>0</v>
      </c>
      <c r="N228" s="173">
        <f>IF($D228="","",'Total &amp; Budget Targets'!$G$63)</f>
        <v>0</v>
      </c>
      <c r="O228" s="173">
        <f>IF($D228="","",'Total &amp; Budget Targets'!$G$69)</f>
        <v>0</v>
      </c>
    </row>
    <row r="229" spans="1:15" ht="15.75" customHeight="1" x14ac:dyDescent="0.2">
      <c r="A229" s="165">
        <f t="shared" si="3"/>
        <v>225</v>
      </c>
      <c r="B229" s="172"/>
      <c r="C229" s="169">
        <f>IF(D228="","",IF(D228+1&gt;'Date Info'!$D$21,"",D228+1))</f>
        <v>52505</v>
      </c>
      <c r="D229" s="172">
        <f>IFERROR(IF(C229="","",IF(EOMONTH(C229,0)&gt;'Date Info'!$D$21,'Date Info'!$D$21,EOMONTH(C229,0))),"")</f>
        <v>52535</v>
      </c>
      <c r="E229" s="173">
        <f>IF($D229="","",IFERROR(SUMIFS(Expenses!$E:$E,Expenses!$B:$B,"&gt;="&amp;$C229,Expenses!$B:$B,"&lt;="&amp;$D229),"na"))</f>
        <v>0</v>
      </c>
      <c r="F229" s="173">
        <f>IF($D229="","",IFERROR(SUMIFS(Income!$D:$D,Income!$B:$B,"&gt;="&amp;$C229,Income!$B:$B,"&lt;="&amp;$D229),"na"))</f>
        <v>0</v>
      </c>
      <c r="G229" s="173">
        <f t="shared" si="0"/>
        <v>0</v>
      </c>
      <c r="H229" s="174" t="str">
        <f t="shared" si="1"/>
        <v>na</v>
      </c>
      <c r="I229" s="174" t="str">
        <f t="shared" si="2"/>
        <v>na</v>
      </c>
      <c r="J229" s="173">
        <f t="shared" ref="J229:L229" si="227">IF(E229="","",J$5)</f>
        <v>38</v>
      </c>
      <c r="K229" s="173">
        <f t="shared" si="227"/>
        <v>300</v>
      </c>
      <c r="L229" s="173">
        <f t="shared" si="227"/>
        <v>262</v>
      </c>
      <c r="M229" s="173">
        <f>IF($D229="","",'Total &amp; Budget Targets'!$G$44)</f>
        <v>0</v>
      </c>
      <c r="N229" s="173">
        <f>IF($D229="","",'Total &amp; Budget Targets'!$G$63)</f>
        <v>0</v>
      </c>
      <c r="O229" s="173">
        <f>IF($D229="","",'Total &amp; Budget Targets'!$G$69)</f>
        <v>0</v>
      </c>
    </row>
    <row r="230" spans="1:15" ht="15.75" customHeight="1" x14ac:dyDescent="0.2">
      <c r="A230" s="165">
        <f t="shared" si="3"/>
        <v>226</v>
      </c>
      <c r="B230" s="172"/>
      <c r="C230" s="169">
        <f>IF(D229="","",IF(D229+1&gt;'Date Info'!$D$21,"",D229+1))</f>
        <v>52536</v>
      </c>
      <c r="D230" s="172">
        <f>IFERROR(IF(C230="","",IF(EOMONTH(C230,0)&gt;'Date Info'!$D$21,'Date Info'!$D$21,EOMONTH(C230,0))),"")</f>
        <v>52565</v>
      </c>
      <c r="E230" s="173">
        <f>IF($D230="","",IFERROR(SUMIFS(Expenses!$E:$E,Expenses!$B:$B,"&gt;="&amp;$C230,Expenses!$B:$B,"&lt;="&amp;$D230),"na"))</f>
        <v>0</v>
      </c>
      <c r="F230" s="173">
        <f>IF($D230="","",IFERROR(SUMIFS(Income!$D:$D,Income!$B:$B,"&gt;="&amp;$C230,Income!$B:$B,"&lt;="&amp;$D230),"na"))</f>
        <v>0</v>
      </c>
      <c r="G230" s="173">
        <f t="shared" si="0"/>
        <v>0</v>
      </c>
      <c r="H230" s="174" t="str">
        <f t="shared" si="1"/>
        <v>na</v>
      </c>
      <c r="I230" s="174" t="str">
        <f t="shared" si="2"/>
        <v>na</v>
      </c>
      <c r="J230" s="173">
        <f t="shared" ref="J230:L230" si="228">IF(E230="","",J$5)</f>
        <v>38</v>
      </c>
      <c r="K230" s="173">
        <f t="shared" si="228"/>
        <v>300</v>
      </c>
      <c r="L230" s="173">
        <f t="shared" si="228"/>
        <v>262</v>
      </c>
      <c r="M230" s="173">
        <f>IF($D230="","",'Total &amp; Budget Targets'!$G$44)</f>
        <v>0</v>
      </c>
      <c r="N230" s="173">
        <f>IF($D230="","",'Total &amp; Budget Targets'!$G$63)</f>
        <v>0</v>
      </c>
      <c r="O230" s="173">
        <f>IF($D230="","",'Total &amp; Budget Targets'!$G$69)</f>
        <v>0</v>
      </c>
    </row>
    <row r="231" spans="1:15" ht="15.75" customHeight="1" x14ac:dyDescent="0.2">
      <c r="A231" s="165">
        <f t="shared" si="3"/>
        <v>227</v>
      </c>
      <c r="B231" s="172"/>
      <c r="C231" s="169">
        <f>IF(D230="","",IF(D230+1&gt;'Date Info'!$D$21,"",D230+1))</f>
        <v>52566</v>
      </c>
      <c r="D231" s="172">
        <f>IFERROR(IF(C231="","",IF(EOMONTH(C231,0)&gt;'Date Info'!$D$21,'Date Info'!$D$21,EOMONTH(C231,0))),"")</f>
        <v>52596</v>
      </c>
      <c r="E231" s="173">
        <f>IF($D231="","",IFERROR(SUMIFS(Expenses!$E:$E,Expenses!$B:$B,"&gt;="&amp;$C231,Expenses!$B:$B,"&lt;="&amp;$D231),"na"))</f>
        <v>0</v>
      </c>
      <c r="F231" s="173">
        <f>IF($D231="","",IFERROR(SUMIFS(Income!$D:$D,Income!$B:$B,"&gt;="&amp;$C231,Income!$B:$B,"&lt;="&amp;$D231),"na"))</f>
        <v>0</v>
      </c>
      <c r="G231" s="173">
        <f t="shared" si="0"/>
        <v>0</v>
      </c>
      <c r="H231" s="174" t="str">
        <f t="shared" si="1"/>
        <v>na</v>
      </c>
      <c r="I231" s="174" t="str">
        <f t="shared" si="2"/>
        <v>na</v>
      </c>
      <c r="J231" s="173">
        <f t="shared" ref="J231:L231" si="229">IF(E231="","",J$5)</f>
        <v>38</v>
      </c>
      <c r="K231" s="173">
        <f t="shared" si="229"/>
        <v>300</v>
      </c>
      <c r="L231" s="173">
        <f t="shared" si="229"/>
        <v>262</v>
      </c>
      <c r="M231" s="173">
        <f>IF($D231="","",'Total &amp; Budget Targets'!$G$44)</f>
        <v>0</v>
      </c>
      <c r="N231" s="173">
        <f>IF($D231="","",'Total &amp; Budget Targets'!$G$63)</f>
        <v>0</v>
      </c>
      <c r="O231" s="173">
        <f>IF($D231="","",'Total &amp; Budget Targets'!$G$69)</f>
        <v>0</v>
      </c>
    </row>
    <row r="232" spans="1:15" ht="15.75" customHeight="1" x14ac:dyDescent="0.2">
      <c r="A232" s="165">
        <f t="shared" si="3"/>
        <v>228</v>
      </c>
      <c r="B232" s="172"/>
      <c r="C232" s="169">
        <f>IF(D231="","",IF(D231+1&gt;'Date Info'!$D$21,"",D231+1))</f>
        <v>52597</v>
      </c>
      <c r="D232" s="172">
        <f>IFERROR(IF(C232="","",IF(EOMONTH(C232,0)&gt;'Date Info'!$D$21,'Date Info'!$D$21,EOMONTH(C232,0))),"")</f>
        <v>52627</v>
      </c>
      <c r="E232" s="173">
        <f>IF($D232="","",IFERROR(SUMIFS(Expenses!$E:$E,Expenses!$B:$B,"&gt;="&amp;$C232,Expenses!$B:$B,"&lt;="&amp;$D232),"na"))</f>
        <v>0</v>
      </c>
      <c r="F232" s="173">
        <f>IF($D232="","",IFERROR(SUMIFS(Income!$D:$D,Income!$B:$B,"&gt;="&amp;$C232,Income!$B:$B,"&lt;="&amp;$D232),"na"))</f>
        <v>0</v>
      </c>
      <c r="G232" s="173">
        <f t="shared" si="0"/>
        <v>0</v>
      </c>
      <c r="H232" s="174" t="str">
        <f t="shared" si="1"/>
        <v>na</v>
      </c>
      <c r="I232" s="174" t="str">
        <f t="shared" si="2"/>
        <v>na</v>
      </c>
      <c r="J232" s="173">
        <f t="shared" ref="J232:L232" si="230">IF(E232="","",J$5)</f>
        <v>38</v>
      </c>
      <c r="K232" s="173">
        <f t="shared" si="230"/>
        <v>300</v>
      </c>
      <c r="L232" s="173">
        <f t="shared" si="230"/>
        <v>262</v>
      </c>
      <c r="M232" s="173">
        <f>IF($D232="","",'Total &amp; Budget Targets'!$G$44)</f>
        <v>0</v>
      </c>
      <c r="N232" s="173">
        <f>IF($D232="","",'Total &amp; Budget Targets'!$G$63)</f>
        <v>0</v>
      </c>
      <c r="O232" s="173">
        <f>IF($D232="","",'Total &amp; Budget Targets'!$G$69)</f>
        <v>0</v>
      </c>
    </row>
    <row r="233" spans="1:15" ht="15.75" customHeight="1" x14ac:dyDescent="0.2">
      <c r="A233" s="165">
        <f t="shared" si="3"/>
        <v>229</v>
      </c>
      <c r="B233" s="172"/>
      <c r="C233" s="169">
        <f>IF(D232="","",IF(D232+1&gt;'Date Info'!$D$21,"",D232+1))</f>
        <v>52628</v>
      </c>
      <c r="D233" s="172">
        <f>IFERROR(IF(C233="","",IF(EOMONTH(C233,0)&gt;'Date Info'!$D$21,'Date Info'!$D$21,EOMONTH(C233,0))),"")</f>
        <v>52656</v>
      </c>
      <c r="E233" s="173">
        <f>IF($D233="","",IFERROR(SUMIFS(Expenses!$E:$E,Expenses!$B:$B,"&gt;="&amp;$C233,Expenses!$B:$B,"&lt;="&amp;$D233),"na"))</f>
        <v>0</v>
      </c>
      <c r="F233" s="173">
        <f>IF($D233="","",IFERROR(SUMIFS(Income!$D:$D,Income!$B:$B,"&gt;="&amp;$C233,Income!$B:$B,"&lt;="&amp;$D233),"na"))</f>
        <v>0</v>
      </c>
      <c r="G233" s="173">
        <f t="shared" si="0"/>
        <v>0</v>
      </c>
      <c r="H233" s="174" t="str">
        <f t="shared" si="1"/>
        <v>na</v>
      </c>
      <c r="I233" s="174" t="str">
        <f t="shared" si="2"/>
        <v>na</v>
      </c>
      <c r="J233" s="173">
        <f t="shared" ref="J233:L233" si="231">IF(E233="","",J$5)</f>
        <v>38</v>
      </c>
      <c r="K233" s="173">
        <f t="shared" si="231"/>
        <v>300</v>
      </c>
      <c r="L233" s="173">
        <f t="shared" si="231"/>
        <v>262</v>
      </c>
      <c r="M233" s="173">
        <f>IF($D233="","",'Total &amp; Budget Targets'!$G$44)</f>
        <v>0</v>
      </c>
      <c r="N233" s="173">
        <f>IF($D233="","",'Total &amp; Budget Targets'!$G$63)</f>
        <v>0</v>
      </c>
      <c r="O233" s="173">
        <f>IF($D233="","",'Total &amp; Budget Targets'!$G$69)</f>
        <v>0</v>
      </c>
    </row>
    <row r="234" spans="1:15" ht="15.75" customHeight="1" x14ac:dyDescent="0.2">
      <c r="A234" s="165">
        <f t="shared" si="3"/>
        <v>230</v>
      </c>
      <c r="B234" s="172"/>
      <c r="C234" s="169">
        <f>IF(D233="","",IF(D233+1&gt;'Date Info'!$D$21,"",D233+1))</f>
        <v>52657</v>
      </c>
      <c r="D234" s="172">
        <f>IFERROR(IF(C234="","",IF(EOMONTH(C234,0)&gt;'Date Info'!$D$21,'Date Info'!$D$21,EOMONTH(C234,0))),"")</f>
        <v>52687</v>
      </c>
      <c r="E234" s="173">
        <f>IF($D234="","",IFERROR(SUMIFS(Expenses!$E:$E,Expenses!$B:$B,"&gt;="&amp;$C234,Expenses!$B:$B,"&lt;="&amp;$D234),"na"))</f>
        <v>0</v>
      </c>
      <c r="F234" s="173">
        <f>IF($D234="","",IFERROR(SUMIFS(Income!$D:$D,Income!$B:$B,"&gt;="&amp;$C234,Income!$B:$B,"&lt;="&amp;$D234),"na"))</f>
        <v>0</v>
      </c>
      <c r="G234" s="173">
        <f t="shared" si="0"/>
        <v>0</v>
      </c>
      <c r="H234" s="174" t="str">
        <f t="shared" si="1"/>
        <v>na</v>
      </c>
      <c r="I234" s="174" t="str">
        <f t="shared" si="2"/>
        <v>na</v>
      </c>
      <c r="J234" s="173">
        <f t="shared" ref="J234:L234" si="232">IF(E234="","",J$5)</f>
        <v>38</v>
      </c>
      <c r="K234" s="173">
        <f t="shared" si="232"/>
        <v>300</v>
      </c>
      <c r="L234" s="173">
        <f t="shared" si="232"/>
        <v>262</v>
      </c>
      <c r="M234" s="173">
        <f>IF($D234="","",'Total &amp; Budget Targets'!$G$44)</f>
        <v>0</v>
      </c>
      <c r="N234" s="173">
        <f>IF($D234="","",'Total &amp; Budget Targets'!$G$63)</f>
        <v>0</v>
      </c>
      <c r="O234" s="173">
        <f>IF($D234="","",'Total &amp; Budget Targets'!$G$69)</f>
        <v>0</v>
      </c>
    </row>
    <row r="235" spans="1:15" ht="15.75" customHeight="1" x14ac:dyDescent="0.2">
      <c r="A235" s="165">
        <f t="shared" si="3"/>
        <v>231</v>
      </c>
      <c r="B235" s="172"/>
      <c r="C235" s="169">
        <f>IF(D234="","",IF(D234+1&gt;'Date Info'!$D$21,"",D234+1))</f>
        <v>52688</v>
      </c>
      <c r="D235" s="172">
        <f>IFERROR(IF(C235="","",IF(EOMONTH(C235,0)&gt;'Date Info'!$D$21,'Date Info'!$D$21,EOMONTH(C235,0))),"")</f>
        <v>52717</v>
      </c>
      <c r="E235" s="173">
        <f>IF($D235="","",IFERROR(SUMIFS(Expenses!$E:$E,Expenses!$B:$B,"&gt;="&amp;$C235,Expenses!$B:$B,"&lt;="&amp;$D235),"na"))</f>
        <v>0</v>
      </c>
      <c r="F235" s="173">
        <f>IF($D235="","",IFERROR(SUMIFS(Income!$D:$D,Income!$B:$B,"&gt;="&amp;$C235,Income!$B:$B,"&lt;="&amp;$D235),"na"))</f>
        <v>0</v>
      </c>
      <c r="G235" s="173">
        <f t="shared" si="0"/>
        <v>0</v>
      </c>
      <c r="H235" s="174" t="str">
        <f t="shared" si="1"/>
        <v>na</v>
      </c>
      <c r="I235" s="174" t="str">
        <f t="shared" si="2"/>
        <v>na</v>
      </c>
      <c r="J235" s="173">
        <f t="shared" ref="J235:L235" si="233">IF(E235="","",J$5)</f>
        <v>38</v>
      </c>
      <c r="K235" s="173">
        <f t="shared" si="233"/>
        <v>300</v>
      </c>
      <c r="L235" s="173">
        <f t="shared" si="233"/>
        <v>262</v>
      </c>
      <c r="M235" s="173">
        <f>IF($D235="","",'Total &amp; Budget Targets'!$G$44)</f>
        <v>0</v>
      </c>
      <c r="N235" s="173">
        <f>IF($D235="","",'Total &amp; Budget Targets'!$G$63)</f>
        <v>0</v>
      </c>
      <c r="O235" s="173">
        <f>IF($D235="","",'Total &amp; Budget Targets'!$G$69)</f>
        <v>0</v>
      </c>
    </row>
    <row r="236" spans="1:15" ht="15.75" customHeight="1" x14ac:dyDescent="0.2">
      <c r="A236" s="165">
        <f t="shared" si="3"/>
        <v>232</v>
      </c>
      <c r="B236" s="172"/>
      <c r="C236" s="169">
        <f>IF(D235="","",IF(D235+1&gt;'Date Info'!$D$21,"",D235+1))</f>
        <v>52718</v>
      </c>
      <c r="D236" s="172">
        <f>IFERROR(IF(C236="","",IF(EOMONTH(C236,0)&gt;'Date Info'!$D$21,'Date Info'!$D$21,EOMONTH(C236,0))),"")</f>
        <v>52748</v>
      </c>
      <c r="E236" s="173">
        <f>IF($D236="","",IFERROR(SUMIFS(Expenses!$E:$E,Expenses!$B:$B,"&gt;="&amp;$C236,Expenses!$B:$B,"&lt;="&amp;$D236),"na"))</f>
        <v>0</v>
      </c>
      <c r="F236" s="173">
        <f>IF($D236="","",IFERROR(SUMIFS(Income!$D:$D,Income!$B:$B,"&gt;="&amp;$C236,Income!$B:$B,"&lt;="&amp;$D236),"na"))</f>
        <v>0</v>
      </c>
      <c r="G236" s="173">
        <f t="shared" si="0"/>
        <v>0</v>
      </c>
      <c r="H236" s="174" t="str">
        <f t="shared" si="1"/>
        <v>na</v>
      </c>
      <c r="I236" s="174" t="str">
        <f t="shared" si="2"/>
        <v>na</v>
      </c>
      <c r="J236" s="173">
        <f t="shared" ref="J236:L236" si="234">IF(E236="","",J$5)</f>
        <v>38</v>
      </c>
      <c r="K236" s="173">
        <f t="shared" si="234"/>
        <v>300</v>
      </c>
      <c r="L236" s="173">
        <f t="shared" si="234"/>
        <v>262</v>
      </c>
      <c r="M236" s="173">
        <f>IF($D236="","",'Total &amp; Budget Targets'!$G$44)</f>
        <v>0</v>
      </c>
      <c r="N236" s="173">
        <f>IF($D236="","",'Total &amp; Budget Targets'!$G$63)</f>
        <v>0</v>
      </c>
      <c r="O236" s="173">
        <f>IF($D236="","",'Total &amp; Budget Targets'!$G$69)</f>
        <v>0</v>
      </c>
    </row>
    <row r="237" spans="1:15" ht="15.75" customHeight="1" x14ac:dyDescent="0.2">
      <c r="A237" s="165">
        <f t="shared" si="3"/>
        <v>233</v>
      </c>
      <c r="B237" s="172"/>
      <c r="C237" s="169">
        <f>IF(D236="","",IF(D236+1&gt;'Date Info'!$D$21,"",D236+1))</f>
        <v>52749</v>
      </c>
      <c r="D237" s="172">
        <f>IFERROR(IF(C237="","",IF(EOMONTH(C237,0)&gt;'Date Info'!$D$21,'Date Info'!$D$21,EOMONTH(C237,0))),"")</f>
        <v>52778</v>
      </c>
      <c r="E237" s="173">
        <f>IF($D237="","",IFERROR(SUMIFS(Expenses!$E:$E,Expenses!$B:$B,"&gt;="&amp;$C237,Expenses!$B:$B,"&lt;="&amp;$D237),"na"))</f>
        <v>0</v>
      </c>
      <c r="F237" s="173">
        <f>IF($D237="","",IFERROR(SUMIFS(Income!$D:$D,Income!$B:$B,"&gt;="&amp;$C237,Income!$B:$B,"&lt;="&amp;$D237),"na"))</f>
        <v>0</v>
      </c>
      <c r="G237" s="173">
        <f t="shared" si="0"/>
        <v>0</v>
      </c>
      <c r="H237" s="174" t="str">
        <f t="shared" si="1"/>
        <v>na</v>
      </c>
      <c r="I237" s="174" t="str">
        <f t="shared" si="2"/>
        <v>na</v>
      </c>
      <c r="J237" s="173">
        <f t="shared" ref="J237:L237" si="235">IF(E237="","",J$5)</f>
        <v>38</v>
      </c>
      <c r="K237" s="173">
        <f t="shared" si="235"/>
        <v>300</v>
      </c>
      <c r="L237" s="173">
        <f t="shared" si="235"/>
        <v>262</v>
      </c>
      <c r="M237" s="173">
        <f>IF($D237="","",'Total &amp; Budget Targets'!$G$44)</f>
        <v>0</v>
      </c>
      <c r="N237" s="173">
        <f>IF($D237="","",'Total &amp; Budget Targets'!$G$63)</f>
        <v>0</v>
      </c>
      <c r="O237" s="173">
        <f>IF($D237="","",'Total &amp; Budget Targets'!$G$69)</f>
        <v>0</v>
      </c>
    </row>
    <row r="238" spans="1:15" ht="15.75" customHeight="1" x14ac:dyDescent="0.2">
      <c r="A238" s="165">
        <f t="shared" si="3"/>
        <v>234</v>
      </c>
      <c r="B238" s="172"/>
      <c r="C238" s="169">
        <f>IF(D237="","",IF(D237+1&gt;'Date Info'!$D$21,"",D237+1))</f>
        <v>52779</v>
      </c>
      <c r="D238" s="172">
        <f>IFERROR(IF(C238="","",IF(EOMONTH(C238,0)&gt;'Date Info'!$D$21,'Date Info'!$D$21,EOMONTH(C238,0))),"")</f>
        <v>52809</v>
      </c>
      <c r="E238" s="173">
        <f>IF($D238="","",IFERROR(SUMIFS(Expenses!$E:$E,Expenses!$B:$B,"&gt;="&amp;$C238,Expenses!$B:$B,"&lt;="&amp;$D238),"na"))</f>
        <v>0</v>
      </c>
      <c r="F238" s="173">
        <f>IF($D238="","",IFERROR(SUMIFS(Income!$D:$D,Income!$B:$B,"&gt;="&amp;$C238,Income!$B:$B,"&lt;="&amp;$D238),"na"))</f>
        <v>0</v>
      </c>
      <c r="G238" s="173">
        <f t="shared" si="0"/>
        <v>0</v>
      </c>
      <c r="H238" s="174" t="str">
        <f t="shared" si="1"/>
        <v>na</v>
      </c>
      <c r="I238" s="174" t="str">
        <f t="shared" si="2"/>
        <v>na</v>
      </c>
      <c r="J238" s="173">
        <f t="shared" ref="J238:L238" si="236">IF(E238="","",J$5)</f>
        <v>38</v>
      </c>
      <c r="K238" s="173">
        <f t="shared" si="236"/>
        <v>300</v>
      </c>
      <c r="L238" s="173">
        <f t="shared" si="236"/>
        <v>262</v>
      </c>
      <c r="M238" s="173">
        <f>IF($D238="","",'Total &amp; Budget Targets'!$G$44)</f>
        <v>0</v>
      </c>
      <c r="N238" s="173">
        <f>IF($D238="","",'Total &amp; Budget Targets'!$G$63)</f>
        <v>0</v>
      </c>
      <c r="O238" s="173">
        <f>IF($D238="","",'Total &amp; Budget Targets'!$G$69)</f>
        <v>0</v>
      </c>
    </row>
    <row r="239" spans="1:15" ht="15.75" customHeight="1" x14ac:dyDescent="0.2">
      <c r="A239" s="165">
        <f t="shared" si="3"/>
        <v>235</v>
      </c>
      <c r="B239" s="172"/>
      <c r="C239" s="169">
        <f>IF(D238="","",IF(D238+1&gt;'Date Info'!$D$21,"",D238+1))</f>
        <v>52810</v>
      </c>
      <c r="D239" s="172">
        <f>IFERROR(IF(C239="","",IF(EOMONTH(C239,0)&gt;'Date Info'!$D$21,'Date Info'!$D$21,EOMONTH(C239,0))),"")</f>
        <v>52840</v>
      </c>
      <c r="E239" s="173">
        <f>IF($D239="","",IFERROR(SUMIFS(Expenses!$E:$E,Expenses!$B:$B,"&gt;="&amp;$C239,Expenses!$B:$B,"&lt;="&amp;$D239),"na"))</f>
        <v>0</v>
      </c>
      <c r="F239" s="173">
        <f>IF($D239="","",IFERROR(SUMIFS(Income!$D:$D,Income!$B:$B,"&gt;="&amp;$C239,Income!$B:$B,"&lt;="&amp;$D239),"na"))</f>
        <v>0</v>
      </c>
      <c r="G239" s="173">
        <f t="shared" si="0"/>
        <v>0</v>
      </c>
      <c r="H239" s="174" t="str">
        <f t="shared" si="1"/>
        <v>na</v>
      </c>
      <c r="I239" s="174" t="str">
        <f t="shared" si="2"/>
        <v>na</v>
      </c>
      <c r="J239" s="173">
        <f t="shared" ref="J239:L239" si="237">IF(E239="","",J$5)</f>
        <v>38</v>
      </c>
      <c r="K239" s="173">
        <f t="shared" si="237"/>
        <v>300</v>
      </c>
      <c r="L239" s="173">
        <f t="shared" si="237"/>
        <v>262</v>
      </c>
      <c r="M239" s="173">
        <f>IF($D239="","",'Total &amp; Budget Targets'!$G$44)</f>
        <v>0</v>
      </c>
      <c r="N239" s="173">
        <f>IF($D239="","",'Total &amp; Budget Targets'!$G$63)</f>
        <v>0</v>
      </c>
      <c r="O239" s="173">
        <f>IF($D239="","",'Total &amp; Budget Targets'!$G$69)</f>
        <v>0</v>
      </c>
    </row>
    <row r="240" spans="1:15" ht="15.75" customHeight="1" x14ac:dyDescent="0.2">
      <c r="A240" s="165">
        <f t="shared" si="3"/>
        <v>236</v>
      </c>
      <c r="B240" s="172"/>
      <c r="C240" s="169">
        <f>IF(D239="","",IF(D239+1&gt;'Date Info'!$D$21,"",D239+1))</f>
        <v>52841</v>
      </c>
      <c r="D240" s="172">
        <f>IFERROR(IF(C240="","",IF(EOMONTH(C240,0)&gt;'Date Info'!$D$21,'Date Info'!$D$21,EOMONTH(C240,0))),"")</f>
        <v>52870</v>
      </c>
      <c r="E240" s="173">
        <f>IF($D240="","",IFERROR(SUMIFS(Expenses!$E:$E,Expenses!$B:$B,"&gt;="&amp;$C240,Expenses!$B:$B,"&lt;="&amp;$D240),"na"))</f>
        <v>0</v>
      </c>
      <c r="F240" s="173">
        <f>IF($D240="","",IFERROR(SUMIFS(Income!$D:$D,Income!$B:$B,"&gt;="&amp;$C240,Income!$B:$B,"&lt;="&amp;$D240),"na"))</f>
        <v>0</v>
      </c>
      <c r="G240" s="173">
        <f t="shared" si="0"/>
        <v>0</v>
      </c>
      <c r="H240" s="174" t="str">
        <f t="shared" si="1"/>
        <v>na</v>
      </c>
      <c r="I240" s="174" t="str">
        <f t="shared" si="2"/>
        <v>na</v>
      </c>
      <c r="J240" s="173">
        <f t="shared" ref="J240:L240" si="238">IF(E240="","",J$5)</f>
        <v>38</v>
      </c>
      <c r="K240" s="173">
        <f t="shared" si="238"/>
        <v>300</v>
      </c>
      <c r="L240" s="173">
        <f t="shared" si="238"/>
        <v>262</v>
      </c>
      <c r="M240" s="173">
        <f>IF($D240="","",'Total &amp; Budget Targets'!$G$44)</f>
        <v>0</v>
      </c>
      <c r="N240" s="173">
        <f>IF($D240="","",'Total &amp; Budget Targets'!$G$63)</f>
        <v>0</v>
      </c>
      <c r="O240" s="173">
        <f>IF($D240="","",'Total &amp; Budget Targets'!$G$69)</f>
        <v>0</v>
      </c>
    </row>
    <row r="241" spans="1:15" ht="15.75" customHeight="1" x14ac:dyDescent="0.2">
      <c r="A241" s="165">
        <f t="shared" si="3"/>
        <v>237</v>
      </c>
      <c r="B241" s="172"/>
      <c r="C241" s="169">
        <f>IF(D240="","",IF(D240+1&gt;'Date Info'!$D$21,"",D240+1))</f>
        <v>52871</v>
      </c>
      <c r="D241" s="172">
        <f>IFERROR(IF(C241="","",IF(EOMONTH(C241,0)&gt;'Date Info'!$D$21,'Date Info'!$D$21,EOMONTH(C241,0))),"")</f>
        <v>52901</v>
      </c>
      <c r="E241" s="173">
        <f>IF($D241="","",IFERROR(SUMIFS(Expenses!$E:$E,Expenses!$B:$B,"&gt;="&amp;$C241,Expenses!$B:$B,"&lt;="&amp;$D241),"na"))</f>
        <v>0</v>
      </c>
      <c r="F241" s="173">
        <f>IF($D241="","",IFERROR(SUMIFS(Income!$D:$D,Income!$B:$B,"&gt;="&amp;$C241,Income!$B:$B,"&lt;="&amp;$D241),"na"))</f>
        <v>0</v>
      </c>
      <c r="G241" s="173">
        <f t="shared" si="0"/>
        <v>0</v>
      </c>
      <c r="H241" s="174" t="str">
        <f t="shared" si="1"/>
        <v>na</v>
      </c>
      <c r="I241" s="174" t="str">
        <f t="shared" si="2"/>
        <v>na</v>
      </c>
      <c r="J241" s="173">
        <f t="shared" ref="J241:L241" si="239">IF(E241="","",J$5)</f>
        <v>38</v>
      </c>
      <c r="K241" s="173">
        <f t="shared" si="239"/>
        <v>300</v>
      </c>
      <c r="L241" s="173">
        <f t="shared" si="239"/>
        <v>262</v>
      </c>
      <c r="M241" s="173">
        <f>IF($D241="","",'Total &amp; Budget Targets'!$G$44)</f>
        <v>0</v>
      </c>
      <c r="N241" s="173">
        <f>IF($D241="","",'Total &amp; Budget Targets'!$G$63)</f>
        <v>0</v>
      </c>
      <c r="O241" s="173">
        <f>IF($D241="","",'Total &amp; Budget Targets'!$G$69)</f>
        <v>0</v>
      </c>
    </row>
    <row r="242" spans="1:15" ht="15.75" customHeight="1" x14ac:dyDescent="0.2">
      <c r="A242" s="165">
        <f t="shared" si="3"/>
        <v>238</v>
      </c>
      <c r="B242" s="172"/>
      <c r="C242" s="169">
        <f>IF(D241="","",IF(D241+1&gt;'Date Info'!$D$21,"",D241+1))</f>
        <v>52902</v>
      </c>
      <c r="D242" s="172">
        <f>IFERROR(IF(C242="","",IF(EOMONTH(C242,0)&gt;'Date Info'!$D$21,'Date Info'!$D$21,EOMONTH(C242,0))),"")</f>
        <v>52931</v>
      </c>
      <c r="E242" s="173">
        <f>IF($D242="","",IFERROR(SUMIFS(Expenses!$E:$E,Expenses!$B:$B,"&gt;="&amp;$C242,Expenses!$B:$B,"&lt;="&amp;$D242),"na"))</f>
        <v>0</v>
      </c>
      <c r="F242" s="173">
        <f>IF($D242="","",IFERROR(SUMIFS(Income!$D:$D,Income!$B:$B,"&gt;="&amp;$C242,Income!$B:$B,"&lt;="&amp;$D242),"na"))</f>
        <v>0</v>
      </c>
      <c r="G242" s="173">
        <f t="shared" si="0"/>
        <v>0</v>
      </c>
      <c r="H242" s="174" t="str">
        <f t="shared" si="1"/>
        <v>na</v>
      </c>
      <c r="I242" s="174" t="str">
        <f t="shared" si="2"/>
        <v>na</v>
      </c>
      <c r="J242" s="173">
        <f t="shared" ref="J242:L242" si="240">IF(E242="","",J$5)</f>
        <v>38</v>
      </c>
      <c r="K242" s="173">
        <f t="shared" si="240"/>
        <v>300</v>
      </c>
      <c r="L242" s="173">
        <f t="shared" si="240"/>
        <v>262</v>
      </c>
      <c r="M242" s="173">
        <f>IF($D242="","",'Total &amp; Budget Targets'!$G$44)</f>
        <v>0</v>
      </c>
      <c r="N242" s="173">
        <f>IF($D242="","",'Total &amp; Budget Targets'!$G$63)</f>
        <v>0</v>
      </c>
      <c r="O242" s="173">
        <f>IF($D242="","",'Total &amp; Budget Targets'!$G$69)</f>
        <v>0</v>
      </c>
    </row>
    <row r="243" spans="1:15" ht="15.75" customHeight="1" x14ac:dyDescent="0.2">
      <c r="A243" s="165">
        <f t="shared" si="3"/>
        <v>239</v>
      </c>
      <c r="B243" s="172"/>
      <c r="C243" s="169">
        <f>IF(D242="","",IF(D242+1&gt;'Date Info'!$D$21,"",D242+1))</f>
        <v>52932</v>
      </c>
      <c r="D243" s="172">
        <f>IFERROR(IF(C243="","",IF(EOMONTH(C243,0)&gt;'Date Info'!$D$21,'Date Info'!$D$21,EOMONTH(C243,0))),"")</f>
        <v>52962</v>
      </c>
      <c r="E243" s="173">
        <f>IF($D243="","",IFERROR(SUMIFS(Expenses!$E:$E,Expenses!$B:$B,"&gt;="&amp;$C243,Expenses!$B:$B,"&lt;="&amp;$D243),"na"))</f>
        <v>0</v>
      </c>
      <c r="F243" s="173">
        <f>IF($D243="","",IFERROR(SUMIFS(Income!$D:$D,Income!$B:$B,"&gt;="&amp;$C243,Income!$B:$B,"&lt;="&amp;$D243),"na"))</f>
        <v>0</v>
      </c>
      <c r="G243" s="173">
        <f t="shared" si="0"/>
        <v>0</v>
      </c>
      <c r="H243" s="174" t="str">
        <f t="shared" si="1"/>
        <v>na</v>
      </c>
      <c r="I243" s="174" t="str">
        <f t="shared" si="2"/>
        <v>na</v>
      </c>
      <c r="J243" s="173">
        <f t="shared" ref="J243:L243" si="241">IF(E243="","",J$5)</f>
        <v>38</v>
      </c>
      <c r="K243" s="173">
        <f t="shared" si="241"/>
        <v>300</v>
      </c>
      <c r="L243" s="173">
        <f t="shared" si="241"/>
        <v>262</v>
      </c>
      <c r="M243" s="173">
        <f>IF($D243="","",'Total &amp; Budget Targets'!$G$44)</f>
        <v>0</v>
      </c>
      <c r="N243" s="173">
        <f>IF($D243="","",'Total &amp; Budget Targets'!$G$63)</f>
        <v>0</v>
      </c>
      <c r="O243" s="173">
        <f>IF($D243="","",'Total &amp; Budget Targets'!$G$69)</f>
        <v>0</v>
      </c>
    </row>
    <row r="244" spans="1:15" ht="15.75" customHeight="1" x14ac:dyDescent="0.2">
      <c r="A244" s="165">
        <f t="shared" si="3"/>
        <v>240</v>
      </c>
      <c r="B244" s="172"/>
      <c r="C244" s="169">
        <f>IF(D243="","",IF(D243+1&gt;'Date Info'!$D$21,"",D243+1))</f>
        <v>52963</v>
      </c>
      <c r="D244" s="172">
        <f>IFERROR(IF(C244="","",IF(EOMONTH(C244,0)&gt;'Date Info'!$D$21,'Date Info'!$D$21,EOMONTH(C244,0))),"")</f>
        <v>52993</v>
      </c>
      <c r="E244" s="173">
        <f>IF($D244="","",IFERROR(SUMIFS(Expenses!$E:$E,Expenses!$B:$B,"&gt;="&amp;$C244,Expenses!$B:$B,"&lt;="&amp;$D244),"na"))</f>
        <v>0</v>
      </c>
      <c r="F244" s="173">
        <f>IF($D244="","",IFERROR(SUMIFS(Income!$D:$D,Income!$B:$B,"&gt;="&amp;$C244,Income!$B:$B,"&lt;="&amp;$D244),"na"))</f>
        <v>0</v>
      </c>
      <c r="G244" s="173">
        <f t="shared" si="0"/>
        <v>0</v>
      </c>
      <c r="H244" s="174" t="str">
        <f t="shared" si="1"/>
        <v>na</v>
      </c>
      <c r="I244" s="174" t="str">
        <f t="shared" si="2"/>
        <v>na</v>
      </c>
      <c r="J244" s="173">
        <f t="shared" ref="J244:L244" si="242">IF(E244="","",J$5)</f>
        <v>38</v>
      </c>
      <c r="K244" s="173">
        <f t="shared" si="242"/>
        <v>300</v>
      </c>
      <c r="L244" s="173">
        <f t="shared" si="242"/>
        <v>262</v>
      </c>
      <c r="M244" s="173">
        <f>IF($D244="","",'Total &amp; Budget Targets'!$G$44)</f>
        <v>0</v>
      </c>
      <c r="N244" s="173">
        <f>IF($D244="","",'Total &amp; Budget Targets'!$G$63)</f>
        <v>0</v>
      </c>
      <c r="O244" s="173">
        <f>IF($D244="","",'Total &amp; Budget Targets'!$G$69)</f>
        <v>0</v>
      </c>
    </row>
    <row r="245" spans="1:15" ht="15.75" customHeight="1" x14ac:dyDescent="0.2">
      <c r="A245" s="165">
        <f t="shared" si="3"/>
        <v>241</v>
      </c>
      <c r="B245" s="172"/>
      <c r="C245" s="169">
        <f>IF(D244="","",IF(D244+1&gt;'Date Info'!$D$21,"",D244+1))</f>
        <v>52994</v>
      </c>
      <c r="D245" s="172">
        <f>IFERROR(IF(C245="","",IF(EOMONTH(C245,0)&gt;'Date Info'!$D$21,'Date Info'!$D$21,EOMONTH(C245,0))),"")</f>
        <v>53021</v>
      </c>
      <c r="E245" s="173">
        <f>IF($D245="","",IFERROR(SUMIFS(Expenses!$E:$E,Expenses!$B:$B,"&gt;="&amp;$C245,Expenses!$B:$B,"&lt;="&amp;$D245),"na"))</f>
        <v>0</v>
      </c>
      <c r="F245" s="173">
        <f>IF($D245="","",IFERROR(SUMIFS(Income!$D:$D,Income!$B:$B,"&gt;="&amp;$C245,Income!$B:$B,"&lt;="&amp;$D245),"na"))</f>
        <v>0</v>
      </c>
      <c r="G245" s="173">
        <f t="shared" si="0"/>
        <v>0</v>
      </c>
      <c r="H245" s="174" t="str">
        <f t="shared" si="1"/>
        <v>na</v>
      </c>
      <c r="I245" s="174" t="str">
        <f t="shared" si="2"/>
        <v>na</v>
      </c>
      <c r="J245" s="173">
        <f t="shared" ref="J245:L245" si="243">IF(E245="","",J$5)</f>
        <v>38</v>
      </c>
      <c r="K245" s="173">
        <f t="shared" si="243"/>
        <v>300</v>
      </c>
      <c r="L245" s="173">
        <f t="shared" si="243"/>
        <v>262</v>
      </c>
      <c r="M245" s="173">
        <f>IF($D245="","",'Total &amp; Budget Targets'!$G$44)</f>
        <v>0</v>
      </c>
      <c r="N245" s="173">
        <f>IF($D245="","",'Total &amp; Budget Targets'!$G$63)</f>
        <v>0</v>
      </c>
      <c r="O245" s="173">
        <f>IF($D245="","",'Total &amp; Budget Targets'!$G$69)</f>
        <v>0</v>
      </c>
    </row>
    <row r="246" spans="1:15" ht="15.75" customHeight="1" x14ac:dyDescent="0.2">
      <c r="A246" s="165">
        <f t="shared" si="3"/>
        <v>242</v>
      </c>
      <c r="B246" s="172"/>
      <c r="C246" s="169">
        <f>IF(D245="","",IF(D245+1&gt;'Date Info'!$D$21,"",D245+1))</f>
        <v>53022</v>
      </c>
      <c r="D246" s="172">
        <f>IFERROR(IF(C246="","",IF(EOMONTH(C246,0)&gt;'Date Info'!$D$21,'Date Info'!$D$21,EOMONTH(C246,0))),"")</f>
        <v>53052</v>
      </c>
      <c r="E246" s="173">
        <f>IF($D246="","",IFERROR(SUMIFS(Expenses!$E:$E,Expenses!$B:$B,"&gt;="&amp;$C246,Expenses!$B:$B,"&lt;="&amp;$D246),"na"))</f>
        <v>0</v>
      </c>
      <c r="F246" s="173">
        <f>IF($D246="","",IFERROR(SUMIFS(Income!$D:$D,Income!$B:$B,"&gt;="&amp;$C246,Income!$B:$B,"&lt;="&amp;$D246),"na"))</f>
        <v>0</v>
      </c>
      <c r="G246" s="173">
        <f t="shared" si="0"/>
        <v>0</v>
      </c>
      <c r="H246" s="174" t="str">
        <f t="shared" si="1"/>
        <v>na</v>
      </c>
      <c r="I246" s="174" t="str">
        <f t="shared" si="2"/>
        <v>na</v>
      </c>
      <c r="J246" s="173">
        <f t="shared" ref="J246:L246" si="244">IF(E246="","",J$5)</f>
        <v>38</v>
      </c>
      <c r="K246" s="173">
        <f t="shared" si="244"/>
        <v>300</v>
      </c>
      <c r="L246" s="173">
        <f t="shared" si="244"/>
        <v>262</v>
      </c>
      <c r="M246" s="173">
        <f>IF($D246="","",'Total &amp; Budget Targets'!$G$44)</f>
        <v>0</v>
      </c>
      <c r="N246" s="173">
        <f>IF($D246="","",'Total &amp; Budget Targets'!$G$63)</f>
        <v>0</v>
      </c>
      <c r="O246" s="173">
        <f>IF($D246="","",'Total &amp; Budget Targets'!$G$69)</f>
        <v>0</v>
      </c>
    </row>
    <row r="247" spans="1:15" ht="15.75" customHeight="1" x14ac:dyDescent="0.2">
      <c r="A247" s="165">
        <f t="shared" si="3"/>
        <v>243</v>
      </c>
      <c r="B247" s="172"/>
      <c r="C247" s="169">
        <f>IF(D246="","",IF(D246+1&gt;'Date Info'!$D$21,"",D246+1))</f>
        <v>53053</v>
      </c>
      <c r="D247" s="172">
        <f>IFERROR(IF(C247="","",IF(EOMONTH(C247,0)&gt;'Date Info'!$D$21,'Date Info'!$D$21,EOMONTH(C247,0))),"")</f>
        <v>53082</v>
      </c>
      <c r="E247" s="173">
        <f>IF($D247="","",IFERROR(SUMIFS(Expenses!$E:$E,Expenses!$B:$B,"&gt;="&amp;$C247,Expenses!$B:$B,"&lt;="&amp;$D247),"na"))</f>
        <v>0</v>
      </c>
      <c r="F247" s="173">
        <f>IF($D247="","",IFERROR(SUMIFS(Income!$D:$D,Income!$B:$B,"&gt;="&amp;$C247,Income!$B:$B,"&lt;="&amp;$D247),"na"))</f>
        <v>0</v>
      </c>
      <c r="G247" s="173">
        <f t="shared" si="0"/>
        <v>0</v>
      </c>
      <c r="H247" s="174" t="str">
        <f t="shared" si="1"/>
        <v>na</v>
      </c>
      <c r="I247" s="174" t="str">
        <f t="shared" si="2"/>
        <v>na</v>
      </c>
      <c r="J247" s="173">
        <f t="shared" ref="J247:L247" si="245">IF(E247="","",J$5)</f>
        <v>38</v>
      </c>
      <c r="K247" s="173">
        <f t="shared" si="245"/>
        <v>300</v>
      </c>
      <c r="L247" s="173">
        <f t="shared" si="245"/>
        <v>262</v>
      </c>
      <c r="M247" s="173">
        <f>IF($D247="","",'Total &amp; Budget Targets'!$G$44)</f>
        <v>0</v>
      </c>
      <c r="N247" s="173">
        <f>IF($D247="","",'Total &amp; Budget Targets'!$G$63)</f>
        <v>0</v>
      </c>
      <c r="O247" s="173">
        <f>IF($D247="","",'Total &amp; Budget Targets'!$G$69)</f>
        <v>0</v>
      </c>
    </row>
    <row r="248" spans="1:15" ht="15.75" customHeight="1" x14ac:dyDescent="0.2">
      <c r="A248" s="165">
        <f t="shared" si="3"/>
        <v>244</v>
      </c>
      <c r="B248" s="172"/>
      <c r="C248" s="169">
        <f>IF(D247="","",IF(D247+1&gt;'Date Info'!$D$21,"",D247+1))</f>
        <v>53083</v>
      </c>
      <c r="D248" s="172">
        <f>IFERROR(IF(C248="","",IF(EOMONTH(C248,0)&gt;'Date Info'!$D$21,'Date Info'!$D$21,EOMONTH(C248,0))),"")</f>
        <v>53113</v>
      </c>
      <c r="E248" s="173">
        <f>IF($D248="","",IFERROR(SUMIFS(Expenses!$E:$E,Expenses!$B:$B,"&gt;="&amp;$C248,Expenses!$B:$B,"&lt;="&amp;$D248),"na"))</f>
        <v>0</v>
      </c>
      <c r="F248" s="173">
        <f>IF($D248="","",IFERROR(SUMIFS(Income!$D:$D,Income!$B:$B,"&gt;="&amp;$C248,Income!$B:$B,"&lt;="&amp;$D248),"na"))</f>
        <v>0</v>
      </c>
      <c r="G248" s="173">
        <f t="shared" si="0"/>
        <v>0</v>
      </c>
      <c r="H248" s="174" t="str">
        <f t="shared" si="1"/>
        <v>na</v>
      </c>
      <c r="I248" s="174" t="str">
        <f t="shared" si="2"/>
        <v>na</v>
      </c>
      <c r="J248" s="173">
        <f t="shared" ref="J248:L248" si="246">IF(E248="","",J$5)</f>
        <v>38</v>
      </c>
      <c r="K248" s="173">
        <f t="shared" si="246"/>
        <v>300</v>
      </c>
      <c r="L248" s="173">
        <f t="shared" si="246"/>
        <v>262</v>
      </c>
      <c r="M248" s="173">
        <f>IF($D248="","",'Total &amp; Budget Targets'!$G$44)</f>
        <v>0</v>
      </c>
      <c r="N248" s="173">
        <f>IF($D248="","",'Total &amp; Budget Targets'!$G$63)</f>
        <v>0</v>
      </c>
      <c r="O248" s="173">
        <f>IF($D248="","",'Total &amp; Budget Targets'!$G$69)</f>
        <v>0</v>
      </c>
    </row>
    <row r="249" spans="1:15" ht="15.75" customHeight="1" x14ac:dyDescent="0.2">
      <c r="A249" s="165">
        <f t="shared" si="3"/>
        <v>245</v>
      </c>
      <c r="B249" s="172"/>
      <c r="C249" s="169">
        <f>IF(D248="","",IF(D248+1&gt;'Date Info'!$D$21,"",D248+1))</f>
        <v>53114</v>
      </c>
      <c r="D249" s="172">
        <f>IFERROR(IF(C249="","",IF(EOMONTH(C249,0)&gt;'Date Info'!$D$21,'Date Info'!$D$21,EOMONTH(C249,0))),"")</f>
        <v>53143</v>
      </c>
      <c r="E249" s="173">
        <f>IF($D249="","",IFERROR(SUMIFS(Expenses!$E:$E,Expenses!$B:$B,"&gt;="&amp;$C249,Expenses!$B:$B,"&lt;="&amp;$D249),"na"))</f>
        <v>0</v>
      </c>
      <c r="F249" s="173">
        <f>IF($D249="","",IFERROR(SUMIFS(Income!$D:$D,Income!$B:$B,"&gt;="&amp;$C249,Income!$B:$B,"&lt;="&amp;$D249),"na"))</f>
        <v>0</v>
      </c>
      <c r="G249" s="173">
        <f t="shared" si="0"/>
        <v>0</v>
      </c>
      <c r="H249" s="174" t="str">
        <f t="shared" si="1"/>
        <v>na</v>
      </c>
      <c r="I249" s="174" t="str">
        <f t="shared" si="2"/>
        <v>na</v>
      </c>
      <c r="J249" s="173">
        <f t="shared" ref="J249:L249" si="247">IF(E249="","",J$5)</f>
        <v>38</v>
      </c>
      <c r="K249" s="173">
        <f t="shared" si="247"/>
        <v>300</v>
      </c>
      <c r="L249" s="173">
        <f t="shared" si="247"/>
        <v>262</v>
      </c>
      <c r="M249" s="173">
        <f>IF($D249="","",'Total &amp; Budget Targets'!$G$44)</f>
        <v>0</v>
      </c>
      <c r="N249" s="173">
        <f>IF($D249="","",'Total &amp; Budget Targets'!$G$63)</f>
        <v>0</v>
      </c>
      <c r="O249" s="173">
        <f>IF($D249="","",'Total &amp; Budget Targets'!$G$69)</f>
        <v>0</v>
      </c>
    </row>
    <row r="250" spans="1:15" ht="15.75" customHeight="1" x14ac:dyDescent="0.2">
      <c r="A250" s="165">
        <f t="shared" si="3"/>
        <v>246</v>
      </c>
      <c r="B250" s="172"/>
      <c r="C250" s="169">
        <f>IF(D249="","",IF(D249+1&gt;'Date Info'!$D$21,"",D249+1))</f>
        <v>53144</v>
      </c>
      <c r="D250" s="172">
        <f>IFERROR(IF(C250="","",IF(EOMONTH(C250,0)&gt;'Date Info'!$D$21,'Date Info'!$D$21,EOMONTH(C250,0))),"")</f>
        <v>53174</v>
      </c>
      <c r="E250" s="173">
        <f>IF($D250="","",IFERROR(SUMIFS(Expenses!$E:$E,Expenses!$B:$B,"&gt;="&amp;$C250,Expenses!$B:$B,"&lt;="&amp;$D250),"na"))</f>
        <v>0</v>
      </c>
      <c r="F250" s="173">
        <f>IF($D250="","",IFERROR(SUMIFS(Income!$D:$D,Income!$B:$B,"&gt;="&amp;$C250,Income!$B:$B,"&lt;="&amp;$D250),"na"))</f>
        <v>0</v>
      </c>
      <c r="G250" s="173">
        <f t="shared" si="0"/>
        <v>0</v>
      </c>
      <c r="H250" s="174" t="str">
        <f t="shared" si="1"/>
        <v>na</v>
      </c>
      <c r="I250" s="174" t="str">
        <f t="shared" si="2"/>
        <v>na</v>
      </c>
      <c r="J250" s="173">
        <f t="shared" ref="J250:L250" si="248">IF(E250="","",J$5)</f>
        <v>38</v>
      </c>
      <c r="K250" s="173">
        <f t="shared" si="248"/>
        <v>300</v>
      </c>
      <c r="L250" s="173">
        <f t="shared" si="248"/>
        <v>262</v>
      </c>
      <c r="M250" s="173">
        <f>IF($D250="","",'Total &amp; Budget Targets'!$G$44)</f>
        <v>0</v>
      </c>
      <c r="N250" s="173">
        <f>IF($D250="","",'Total &amp; Budget Targets'!$G$63)</f>
        <v>0</v>
      </c>
      <c r="O250" s="173">
        <f>IF($D250="","",'Total &amp; Budget Targets'!$G$69)</f>
        <v>0</v>
      </c>
    </row>
    <row r="251" spans="1:15" ht="15.75" customHeight="1" x14ac:dyDescent="0.2">
      <c r="A251" s="165">
        <f t="shared" si="3"/>
        <v>247</v>
      </c>
      <c r="B251" s="172"/>
      <c r="C251" s="169">
        <f>IF(D250="","",IF(D250+1&gt;'Date Info'!$D$21,"",D250+1))</f>
        <v>53175</v>
      </c>
      <c r="D251" s="172">
        <f>IFERROR(IF(C251="","",IF(EOMONTH(C251,0)&gt;'Date Info'!$D$21,'Date Info'!$D$21,EOMONTH(C251,0))),"")</f>
        <v>53205</v>
      </c>
      <c r="E251" s="173">
        <f>IF($D251="","",IFERROR(SUMIFS(Expenses!$E:$E,Expenses!$B:$B,"&gt;="&amp;$C251,Expenses!$B:$B,"&lt;="&amp;$D251),"na"))</f>
        <v>0</v>
      </c>
      <c r="F251" s="173">
        <f>IF($D251="","",IFERROR(SUMIFS(Income!$D:$D,Income!$B:$B,"&gt;="&amp;$C251,Income!$B:$B,"&lt;="&amp;$D251),"na"))</f>
        <v>0</v>
      </c>
      <c r="G251" s="173">
        <f t="shared" si="0"/>
        <v>0</v>
      </c>
      <c r="H251" s="174" t="str">
        <f t="shared" si="1"/>
        <v>na</v>
      </c>
      <c r="I251" s="174" t="str">
        <f t="shared" si="2"/>
        <v>na</v>
      </c>
      <c r="J251" s="173">
        <f t="shared" ref="J251:L251" si="249">IF(E251="","",J$5)</f>
        <v>38</v>
      </c>
      <c r="K251" s="173">
        <f t="shared" si="249"/>
        <v>300</v>
      </c>
      <c r="L251" s="173">
        <f t="shared" si="249"/>
        <v>262</v>
      </c>
      <c r="M251" s="173">
        <f>IF($D251="","",'Total &amp; Budget Targets'!$G$44)</f>
        <v>0</v>
      </c>
      <c r="N251" s="173">
        <f>IF($D251="","",'Total &amp; Budget Targets'!$G$63)</f>
        <v>0</v>
      </c>
      <c r="O251" s="173">
        <f>IF($D251="","",'Total &amp; Budget Targets'!$G$69)</f>
        <v>0</v>
      </c>
    </row>
    <row r="252" spans="1:15" ht="15.75" customHeight="1" x14ac:dyDescent="0.2">
      <c r="A252" s="165">
        <f t="shared" si="3"/>
        <v>248</v>
      </c>
      <c r="B252" s="172"/>
      <c r="C252" s="169">
        <f>IF(D251="","",IF(D251+1&gt;'Date Info'!$D$21,"",D251+1))</f>
        <v>53206</v>
      </c>
      <c r="D252" s="172">
        <f>IFERROR(IF(C252="","",IF(EOMONTH(C252,0)&gt;'Date Info'!$D$21,'Date Info'!$D$21,EOMONTH(C252,0))),"")</f>
        <v>53235</v>
      </c>
      <c r="E252" s="173">
        <f>IF($D252="","",IFERROR(SUMIFS(Expenses!$E:$E,Expenses!$B:$B,"&gt;="&amp;$C252,Expenses!$B:$B,"&lt;="&amp;$D252),"na"))</f>
        <v>0</v>
      </c>
      <c r="F252" s="173">
        <f>IF($D252="","",IFERROR(SUMIFS(Income!$D:$D,Income!$B:$B,"&gt;="&amp;$C252,Income!$B:$B,"&lt;="&amp;$D252),"na"))</f>
        <v>0</v>
      </c>
      <c r="G252" s="173">
        <f t="shared" si="0"/>
        <v>0</v>
      </c>
      <c r="H252" s="174" t="str">
        <f t="shared" si="1"/>
        <v>na</v>
      </c>
      <c r="I252" s="174" t="str">
        <f t="shared" si="2"/>
        <v>na</v>
      </c>
      <c r="J252" s="173">
        <f t="shared" ref="J252:L252" si="250">IF(E252="","",J$5)</f>
        <v>38</v>
      </c>
      <c r="K252" s="173">
        <f t="shared" si="250"/>
        <v>300</v>
      </c>
      <c r="L252" s="173">
        <f t="shared" si="250"/>
        <v>262</v>
      </c>
      <c r="M252" s="173">
        <f>IF($D252="","",'Total &amp; Budget Targets'!$G$44)</f>
        <v>0</v>
      </c>
      <c r="N252" s="173">
        <f>IF($D252="","",'Total &amp; Budget Targets'!$G$63)</f>
        <v>0</v>
      </c>
      <c r="O252" s="173">
        <f>IF($D252="","",'Total &amp; Budget Targets'!$G$69)</f>
        <v>0</v>
      </c>
    </row>
    <row r="253" spans="1:15" ht="15.75" customHeight="1" x14ac:dyDescent="0.2">
      <c r="A253" s="165">
        <f t="shared" si="3"/>
        <v>249</v>
      </c>
      <c r="B253" s="172"/>
      <c r="C253" s="169">
        <f>IF(D252="","",IF(D252+1&gt;'Date Info'!$D$21,"",D252+1))</f>
        <v>53236</v>
      </c>
      <c r="D253" s="172">
        <f>IFERROR(IF(C253="","",IF(EOMONTH(C253,0)&gt;'Date Info'!$D$21,'Date Info'!$D$21,EOMONTH(C253,0))),"")</f>
        <v>53266</v>
      </c>
      <c r="E253" s="173">
        <f>IF($D253="","",IFERROR(SUMIFS(Expenses!$E:$E,Expenses!$B:$B,"&gt;="&amp;$C253,Expenses!$B:$B,"&lt;="&amp;$D253),"na"))</f>
        <v>0</v>
      </c>
      <c r="F253" s="173">
        <f>IF($D253="","",IFERROR(SUMIFS(Income!$D:$D,Income!$B:$B,"&gt;="&amp;$C253,Income!$B:$B,"&lt;="&amp;$D253),"na"))</f>
        <v>0</v>
      </c>
      <c r="G253" s="173">
        <f t="shared" si="0"/>
        <v>0</v>
      </c>
      <c r="H253" s="174" t="str">
        <f t="shared" si="1"/>
        <v>na</v>
      </c>
      <c r="I253" s="174" t="str">
        <f t="shared" si="2"/>
        <v>na</v>
      </c>
      <c r="J253" s="173">
        <f t="shared" ref="J253:L253" si="251">IF(E253="","",J$5)</f>
        <v>38</v>
      </c>
      <c r="K253" s="173">
        <f t="shared" si="251"/>
        <v>300</v>
      </c>
      <c r="L253" s="173">
        <f t="shared" si="251"/>
        <v>262</v>
      </c>
      <c r="M253" s="173">
        <f>IF($D253="","",'Total &amp; Budget Targets'!$G$44)</f>
        <v>0</v>
      </c>
      <c r="N253" s="173">
        <f>IF($D253="","",'Total &amp; Budget Targets'!$G$63)</f>
        <v>0</v>
      </c>
      <c r="O253" s="173">
        <f>IF($D253="","",'Total &amp; Budget Targets'!$G$69)</f>
        <v>0</v>
      </c>
    </row>
    <row r="254" spans="1:15" ht="15.75" customHeight="1" x14ac:dyDescent="0.2">
      <c r="A254" s="165">
        <f t="shared" si="3"/>
        <v>250</v>
      </c>
      <c r="B254" s="172"/>
      <c r="C254" s="169">
        <f>IF(D253="","",IF(D253+1&gt;'Date Info'!$D$21,"",D253+1))</f>
        <v>53267</v>
      </c>
      <c r="D254" s="172">
        <f>IFERROR(IF(C254="","",IF(EOMONTH(C254,0)&gt;'Date Info'!$D$21,'Date Info'!$D$21,EOMONTH(C254,0))),"")</f>
        <v>53296</v>
      </c>
      <c r="E254" s="173">
        <f>IF($D254="","",IFERROR(SUMIFS(Expenses!$E:$E,Expenses!$B:$B,"&gt;="&amp;$C254,Expenses!$B:$B,"&lt;="&amp;$D254),"na"))</f>
        <v>0</v>
      </c>
      <c r="F254" s="173">
        <f>IF($D254="","",IFERROR(SUMIFS(Income!$D:$D,Income!$B:$B,"&gt;="&amp;$C254,Income!$B:$B,"&lt;="&amp;$D254),"na"))</f>
        <v>0</v>
      </c>
      <c r="G254" s="173">
        <f t="shared" si="0"/>
        <v>0</v>
      </c>
      <c r="H254" s="174" t="str">
        <f t="shared" si="1"/>
        <v>na</v>
      </c>
      <c r="I254" s="174" t="str">
        <f t="shared" si="2"/>
        <v>na</v>
      </c>
      <c r="J254" s="173">
        <f t="shared" ref="J254:L254" si="252">IF(E254="","",J$5)</f>
        <v>38</v>
      </c>
      <c r="K254" s="173">
        <f t="shared" si="252"/>
        <v>300</v>
      </c>
      <c r="L254" s="173">
        <f t="shared" si="252"/>
        <v>262</v>
      </c>
      <c r="M254" s="173">
        <f>IF($D254="","",'Total &amp; Budget Targets'!$G$44)</f>
        <v>0</v>
      </c>
      <c r="N254" s="173">
        <f>IF($D254="","",'Total &amp; Budget Targets'!$G$63)</f>
        <v>0</v>
      </c>
      <c r="O254" s="173">
        <f>IF($D254="","",'Total &amp; Budget Targets'!$G$69)</f>
        <v>0</v>
      </c>
    </row>
    <row r="255" spans="1:15" ht="15.75" customHeight="1" x14ac:dyDescent="0.2">
      <c r="A255" s="165">
        <f t="shared" si="3"/>
        <v>251</v>
      </c>
      <c r="B255" s="172"/>
      <c r="C255" s="169">
        <f>IF(D254="","",IF(D254+1&gt;'Date Info'!$D$21,"",D254+1))</f>
        <v>53297</v>
      </c>
      <c r="D255" s="172">
        <f>IFERROR(IF(C255="","",IF(EOMONTH(C255,0)&gt;'Date Info'!$D$21,'Date Info'!$D$21,EOMONTH(C255,0))),"")</f>
        <v>53327</v>
      </c>
      <c r="E255" s="173">
        <f>IF($D255="","",IFERROR(SUMIFS(Expenses!$E:$E,Expenses!$B:$B,"&gt;="&amp;$C255,Expenses!$B:$B,"&lt;="&amp;$D255),"na"))</f>
        <v>0</v>
      </c>
      <c r="F255" s="173">
        <f>IF($D255="","",IFERROR(SUMIFS(Income!$D:$D,Income!$B:$B,"&gt;="&amp;$C255,Income!$B:$B,"&lt;="&amp;$D255),"na"))</f>
        <v>0</v>
      </c>
      <c r="G255" s="173">
        <f t="shared" si="0"/>
        <v>0</v>
      </c>
      <c r="H255" s="174" t="str">
        <f t="shared" si="1"/>
        <v>na</v>
      </c>
      <c r="I255" s="174" t="str">
        <f t="shared" si="2"/>
        <v>na</v>
      </c>
      <c r="J255" s="173">
        <f t="shared" ref="J255:L255" si="253">IF(E255="","",J$5)</f>
        <v>38</v>
      </c>
      <c r="K255" s="173">
        <f t="shared" si="253"/>
        <v>300</v>
      </c>
      <c r="L255" s="173">
        <f t="shared" si="253"/>
        <v>262</v>
      </c>
      <c r="M255" s="173">
        <f>IF($D255="","",'Total &amp; Budget Targets'!$G$44)</f>
        <v>0</v>
      </c>
      <c r="N255" s="173">
        <f>IF($D255="","",'Total &amp; Budget Targets'!$G$63)</f>
        <v>0</v>
      </c>
      <c r="O255" s="173">
        <f>IF($D255="","",'Total &amp; Budget Targets'!$G$69)</f>
        <v>0</v>
      </c>
    </row>
    <row r="256" spans="1:15" ht="15.75" customHeight="1" x14ac:dyDescent="0.2">
      <c r="A256" s="165">
        <f t="shared" si="3"/>
        <v>252</v>
      </c>
      <c r="B256" s="172"/>
      <c r="C256" s="169">
        <f>IF(D255="","",IF(D255+1&gt;'Date Info'!$D$21,"",D255+1))</f>
        <v>53328</v>
      </c>
      <c r="D256" s="172">
        <f>IFERROR(IF(C256="","",IF(EOMONTH(C256,0)&gt;'Date Info'!$D$21,'Date Info'!$D$21,EOMONTH(C256,0))),"")</f>
        <v>53358</v>
      </c>
      <c r="E256" s="173">
        <f>IF($D256="","",IFERROR(SUMIFS(Expenses!$E:$E,Expenses!$B:$B,"&gt;="&amp;$C256,Expenses!$B:$B,"&lt;="&amp;$D256),"na"))</f>
        <v>0</v>
      </c>
      <c r="F256" s="173">
        <f>IF($D256="","",IFERROR(SUMIFS(Income!$D:$D,Income!$B:$B,"&gt;="&amp;$C256,Income!$B:$B,"&lt;="&amp;$D256),"na"))</f>
        <v>0</v>
      </c>
      <c r="G256" s="173">
        <f t="shared" si="0"/>
        <v>0</v>
      </c>
      <c r="H256" s="174" t="str">
        <f t="shared" si="1"/>
        <v>na</v>
      </c>
      <c r="I256" s="174" t="str">
        <f t="shared" si="2"/>
        <v>na</v>
      </c>
      <c r="J256" s="173">
        <f t="shared" ref="J256:L256" si="254">IF(E256="","",J$5)</f>
        <v>38</v>
      </c>
      <c r="K256" s="173">
        <f t="shared" si="254"/>
        <v>300</v>
      </c>
      <c r="L256" s="173">
        <f t="shared" si="254"/>
        <v>262</v>
      </c>
      <c r="M256" s="173">
        <f>IF($D256="","",'Total &amp; Budget Targets'!$G$44)</f>
        <v>0</v>
      </c>
      <c r="N256" s="173">
        <f>IF($D256="","",'Total &amp; Budget Targets'!$G$63)</f>
        <v>0</v>
      </c>
      <c r="O256" s="173">
        <f>IF($D256="","",'Total &amp; Budget Targets'!$G$69)</f>
        <v>0</v>
      </c>
    </row>
    <row r="257" spans="1:15" ht="15.75" customHeight="1" x14ac:dyDescent="0.2">
      <c r="A257" s="165">
        <f t="shared" si="3"/>
        <v>253</v>
      </c>
      <c r="B257" s="172"/>
      <c r="C257" s="169">
        <f>IF(D256="","",IF(D256+1&gt;'Date Info'!$D$21,"",D256+1))</f>
        <v>53359</v>
      </c>
      <c r="D257" s="172">
        <f>IFERROR(IF(C257="","",IF(EOMONTH(C257,0)&gt;'Date Info'!$D$21,'Date Info'!$D$21,EOMONTH(C257,0))),"")</f>
        <v>53386</v>
      </c>
      <c r="E257" s="173">
        <f>IF($D257="","",IFERROR(SUMIFS(Expenses!$E:$E,Expenses!$B:$B,"&gt;="&amp;$C257,Expenses!$B:$B,"&lt;="&amp;$D257),"na"))</f>
        <v>0</v>
      </c>
      <c r="F257" s="173">
        <f>IF($D257="","",IFERROR(SUMIFS(Income!$D:$D,Income!$B:$B,"&gt;="&amp;$C257,Income!$B:$B,"&lt;="&amp;$D257),"na"))</f>
        <v>0</v>
      </c>
      <c r="G257" s="173">
        <f t="shared" si="0"/>
        <v>0</v>
      </c>
      <c r="H257" s="174" t="str">
        <f t="shared" si="1"/>
        <v>na</v>
      </c>
      <c r="I257" s="174" t="str">
        <f t="shared" si="2"/>
        <v>na</v>
      </c>
      <c r="J257" s="173">
        <f t="shared" ref="J257:L257" si="255">IF(E257="","",J$5)</f>
        <v>38</v>
      </c>
      <c r="K257" s="173">
        <f t="shared" si="255"/>
        <v>300</v>
      </c>
      <c r="L257" s="173">
        <f t="shared" si="255"/>
        <v>262</v>
      </c>
      <c r="M257" s="173">
        <f>IF($D257="","",'Total &amp; Budget Targets'!$G$44)</f>
        <v>0</v>
      </c>
      <c r="N257" s="173">
        <f>IF($D257="","",'Total &amp; Budget Targets'!$G$63)</f>
        <v>0</v>
      </c>
      <c r="O257" s="173">
        <f>IF($D257="","",'Total &amp; Budget Targets'!$G$69)</f>
        <v>0</v>
      </c>
    </row>
    <row r="258" spans="1:15" ht="15.75" customHeight="1" x14ac:dyDescent="0.2">
      <c r="A258" s="165">
        <f t="shared" si="3"/>
        <v>254</v>
      </c>
      <c r="B258" s="172"/>
      <c r="C258" s="169">
        <f>IF(D257="","",IF(D257+1&gt;'Date Info'!$D$21,"",D257+1))</f>
        <v>53387</v>
      </c>
      <c r="D258" s="172">
        <f>IFERROR(IF(C258="","",IF(EOMONTH(C258,0)&gt;'Date Info'!$D$21,'Date Info'!$D$21,EOMONTH(C258,0))),"")</f>
        <v>53417</v>
      </c>
      <c r="E258" s="173">
        <f>IF($D258="","",IFERROR(SUMIFS(Expenses!$E:$E,Expenses!$B:$B,"&gt;="&amp;$C258,Expenses!$B:$B,"&lt;="&amp;$D258),"na"))</f>
        <v>0</v>
      </c>
      <c r="F258" s="173">
        <f>IF($D258="","",IFERROR(SUMIFS(Income!$D:$D,Income!$B:$B,"&gt;="&amp;$C258,Income!$B:$B,"&lt;="&amp;$D258),"na"))</f>
        <v>0</v>
      </c>
      <c r="G258" s="173">
        <f t="shared" si="0"/>
        <v>0</v>
      </c>
      <c r="H258" s="174" t="str">
        <f t="shared" si="1"/>
        <v>na</v>
      </c>
      <c r="I258" s="174" t="str">
        <f t="shared" si="2"/>
        <v>na</v>
      </c>
      <c r="J258" s="173">
        <f t="shared" ref="J258:L258" si="256">IF(E258="","",J$5)</f>
        <v>38</v>
      </c>
      <c r="K258" s="173">
        <f t="shared" si="256"/>
        <v>300</v>
      </c>
      <c r="L258" s="173">
        <f t="shared" si="256"/>
        <v>262</v>
      </c>
      <c r="M258" s="173">
        <f>IF($D258="","",'Total &amp; Budget Targets'!$G$44)</f>
        <v>0</v>
      </c>
      <c r="N258" s="173">
        <f>IF($D258="","",'Total &amp; Budget Targets'!$G$63)</f>
        <v>0</v>
      </c>
      <c r="O258" s="173">
        <f>IF($D258="","",'Total &amp; Budget Targets'!$G$69)</f>
        <v>0</v>
      </c>
    </row>
    <row r="259" spans="1:15" ht="15.75" customHeight="1" x14ac:dyDescent="0.2">
      <c r="A259" s="165">
        <f t="shared" si="3"/>
        <v>255</v>
      </c>
      <c r="B259" s="172"/>
      <c r="C259" s="169">
        <f>IF(D258="","",IF(D258+1&gt;'Date Info'!$D$21,"",D258+1))</f>
        <v>53418</v>
      </c>
      <c r="D259" s="172">
        <f>IFERROR(IF(C259="","",IF(EOMONTH(C259,0)&gt;'Date Info'!$D$21,'Date Info'!$D$21,EOMONTH(C259,0))),"")</f>
        <v>53447</v>
      </c>
      <c r="E259" s="173">
        <f>IF($D259="","",IFERROR(SUMIFS(Expenses!$E:$E,Expenses!$B:$B,"&gt;="&amp;$C259,Expenses!$B:$B,"&lt;="&amp;$D259),"na"))</f>
        <v>0</v>
      </c>
      <c r="F259" s="173">
        <f>IF($D259="","",IFERROR(SUMIFS(Income!$D:$D,Income!$B:$B,"&gt;="&amp;$C259,Income!$B:$B,"&lt;="&amp;$D259),"na"))</f>
        <v>0</v>
      </c>
      <c r="G259" s="173">
        <f t="shared" si="0"/>
        <v>0</v>
      </c>
      <c r="H259" s="174" t="str">
        <f t="shared" si="1"/>
        <v>na</v>
      </c>
      <c r="I259" s="174" t="str">
        <f t="shared" si="2"/>
        <v>na</v>
      </c>
      <c r="J259" s="173">
        <f t="shared" ref="J259:L259" si="257">IF(E259="","",J$5)</f>
        <v>38</v>
      </c>
      <c r="K259" s="173">
        <f t="shared" si="257"/>
        <v>300</v>
      </c>
      <c r="L259" s="173">
        <f t="shared" si="257"/>
        <v>262</v>
      </c>
      <c r="M259" s="173">
        <f>IF($D259="","",'Total &amp; Budget Targets'!$G$44)</f>
        <v>0</v>
      </c>
      <c r="N259" s="173">
        <f>IF($D259="","",'Total &amp; Budget Targets'!$G$63)</f>
        <v>0</v>
      </c>
      <c r="O259" s="173">
        <f>IF($D259="","",'Total &amp; Budget Targets'!$G$69)</f>
        <v>0</v>
      </c>
    </row>
    <row r="260" spans="1:15" ht="15.75" customHeight="1" x14ac:dyDescent="0.2">
      <c r="A260" s="165">
        <f t="shared" si="3"/>
        <v>256</v>
      </c>
      <c r="B260" s="172"/>
      <c r="C260" s="169">
        <f>IF(D259="","",IF(D259+1&gt;'Date Info'!$D$21,"",D259+1))</f>
        <v>53448</v>
      </c>
      <c r="D260" s="172">
        <f>IFERROR(IF(C260="","",IF(EOMONTH(C260,0)&gt;'Date Info'!$D$21,'Date Info'!$D$21,EOMONTH(C260,0))),"")</f>
        <v>53478</v>
      </c>
      <c r="E260" s="173">
        <f>IF($D260="","",IFERROR(SUMIFS(Expenses!$E:$E,Expenses!$B:$B,"&gt;="&amp;$C260,Expenses!$B:$B,"&lt;="&amp;$D260),"na"))</f>
        <v>0</v>
      </c>
      <c r="F260" s="173">
        <f>IF($D260="","",IFERROR(SUMIFS(Income!$D:$D,Income!$B:$B,"&gt;="&amp;$C260,Income!$B:$B,"&lt;="&amp;$D260),"na"))</f>
        <v>0</v>
      </c>
      <c r="G260" s="173">
        <f t="shared" ref="G260:G404" si="258">IF(E260="","",F260-E260)</f>
        <v>0</v>
      </c>
      <c r="H260" s="174" t="str">
        <f t="shared" ref="H260:H404" si="259">IFERROR(E260/F260,"na")</f>
        <v>na</v>
      </c>
      <c r="I260" s="174" t="str">
        <f t="shared" ref="I260:I404" si="260">IFERROR(G260/F260,"na")</f>
        <v>na</v>
      </c>
      <c r="J260" s="173">
        <f t="shared" ref="J260:L260" si="261">IF(E260="","",J$5)</f>
        <v>38</v>
      </c>
      <c r="K260" s="173">
        <f t="shared" si="261"/>
        <v>300</v>
      </c>
      <c r="L260" s="173">
        <f t="shared" si="261"/>
        <v>262</v>
      </c>
      <c r="M260" s="173">
        <f>IF($D260="","",'Total &amp; Budget Targets'!$G$44)</f>
        <v>0</v>
      </c>
      <c r="N260" s="173">
        <f>IF($D260="","",'Total &amp; Budget Targets'!$G$63)</f>
        <v>0</v>
      </c>
      <c r="O260" s="173">
        <f>IF($D260="","",'Total &amp; Budget Targets'!$G$69)</f>
        <v>0</v>
      </c>
    </row>
    <row r="261" spans="1:15" ht="15.75" customHeight="1" x14ac:dyDescent="0.2">
      <c r="A261" s="165">
        <f t="shared" ref="A261:A404" si="262">A260+1</f>
        <v>257</v>
      </c>
      <c r="B261" s="172"/>
      <c r="C261" s="169">
        <f>IF(D260="","",IF(D260+1&gt;'Date Info'!$D$21,"",D260+1))</f>
        <v>53479</v>
      </c>
      <c r="D261" s="172">
        <f>IFERROR(IF(C261="","",IF(EOMONTH(C261,0)&gt;'Date Info'!$D$21,'Date Info'!$D$21,EOMONTH(C261,0))),"")</f>
        <v>53508</v>
      </c>
      <c r="E261" s="173">
        <f>IF($D261="","",IFERROR(SUMIFS(Expenses!$E:$E,Expenses!$B:$B,"&gt;="&amp;$C261,Expenses!$B:$B,"&lt;="&amp;$D261),"na"))</f>
        <v>0</v>
      </c>
      <c r="F261" s="173">
        <f>IF($D261="","",IFERROR(SUMIFS(Income!$D:$D,Income!$B:$B,"&gt;="&amp;$C261,Income!$B:$B,"&lt;="&amp;$D261),"na"))</f>
        <v>0</v>
      </c>
      <c r="G261" s="173">
        <f t="shared" si="258"/>
        <v>0</v>
      </c>
      <c r="H261" s="174" t="str">
        <f t="shared" si="259"/>
        <v>na</v>
      </c>
      <c r="I261" s="174" t="str">
        <f t="shared" si="260"/>
        <v>na</v>
      </c>
      <c r="J261" s="173">
        <f t="shared" ref="J261:L261" si="263">IF(E261="","",J$5)</f>
        <v>38</v>
      </c>
      <c r="K261" s="173">
        <f t="shared" si="263"/>
        <v>300</v>
      </c>
      <c r="L261" s="173">
        <f t="shared" si="263"/>
        <v>262</v>
      </c>
      <c r="M261" s="173">
        <f>IF($D261="","",'Total &amp; Budget Targets'!$G$44)</f>
        <v>0</v>
      </c>
      <c r="N261" s="173">
        <f>IF($D261="","",'Total &amp; Budget Targets'!$G$63)</f>
        <v>0</v>
      </c>
      <c r="O261" s="173">
        <f>IF($D261="","",'Total &amp; Budget Targets'!$G$69)</f>
        <v>0</v>
      </c>
    </row>
    <row r="262" spans="1:15" ht="15.75" customHeight="1" x14ac:dyDescent="0.2">
      <c r="A262" s="165">
        <f t="shared" si="262"/>
        <v>258</v>
      </c>
      <c r="B262" s="172"/>
      <c r="C262" s="169">
        <f>IF(D261="","",IF(D261+1&gt;'Date Info'!$D$21,"",D261+1))</f>
        <v>53509</v>
      </c>
      <c r="D262" s="172">
        <f>IFERROR(IF(C262="","",IF(EOMONTH(C262,0)&gt;'Date Info'!$D$21,'Date Info'!$D$21,EOMONTH(C262,0))),"")</f>
        <v>53539</v>
      </c>
      <c r="E262" s="173">
        <f>IF($D262="","",IFERROR(SUMIFS(Expenses!$E:$E,Expenses!$B:$B,"&gt;="&amp;$C262,Expenses!$B:$B,"&lt;="&amp;$D262),"na"))</f>
        <v>0</v>
      </c>
      <c r="F262" s="173">
        <f>IF($D262="","",IFERROR(SUMIFS(Income!$D:$D,Income!$B:$B,"&gt;="&amp;$C262,Income!$B:$B,"&lt;="&amp;$D262),"na"))</f>
        <v>0</v>
      </c>
      <c r="G262" s="173">
        <f t="shared" si="258"/>
        <v>0</v>
      </c>
      <c r="H262" s="174" t="str">
        <f t="shared" si="259"/>
        <v>na</v>
      </c>
      <c r="I262" s="174" t="str">
        <f t="shared" si="260"/>
        <v>na</v>
      </c>
      <c r="J262" s="173">
        <f t="shared" ref="J262:L262" si="264">IF(E262="","",J$5)</f>
        <v>38</v>
      </c>
      <c r="K262" s="173">
        <f t="shared" si="264"/>
        <v>300</v>
      </c>
      <c r="L262" s="173">
        <f t="shared" si="264"/>
        <v>262</v>
      </c>
      <c r="M262" s="173">
        <f>IF($D262="","",'Total &amp; Budget Targets'!$G$44)</f>
        <v>0</v>
      </c>
      <c r="N262" s="173">
        <f>IF($D262="","",'Total &amp; Budget Targets'!$G$63)</f>
        <v>0</v>
      </c>
      <c r="O262" s="173">
        <f>IF($D262="","",'Total &amp; Budget Targets'!$G$69)</f>
        <v>0</v>
      </c>
    </row>
    <row r="263" spans="1:15" ht="15.75" customHeight="1" x14ac:dyDescent="0.2">
      <c r="A263" s="165">
        <f t="shared" si="262"/>
        <v>259</v>
      </c>
      <c r="B263" s="172"/>
      <c r="C263" s="169">
        <f>IF(D262="","",IF(D262+1&gt;'Date Info'!$D$21,"",D262+1))</f>
        <v>53540</v>
      </c>
      <c r="D263" s="172">
        <f>IFERROR(IF(C263="","",IF(EOMONTH(C263,0)&gt;'Date Info'!$D$21,'Date Info'!$D$21,EOMONTH(C263,0))),"")</f>
        <v>53570</v>
      </c>
      <c r="E263" s="173">
        <f>IF($D263="","",IFERROR(SUMIFS(Expenses!$E:$E,Expenses!$B:$B,"&gt;="&amp;$C263,Expenses!$B:$B,"&lt;="&amp;$D263),"na"))</f>
        <v>0</v>
      </c>
      <c r="F263" s="173">
        <f>IF($D263="","",IFERROR(SUMIFS(Income!$D:$D,Income!$B:$B,"&gt;="&amp;$C263,Income!$B:$B,"&lt;="&amp;$D263),"na"))</f>
        <v>0</v>
      </c>
      <c r="G263" s="173">
        <f t="shared" si="258"/>
        <v>0</v>
      </c>
      <c r="H263" s="174" t="str">
        <f t="shared" si="259"/>
        <v>na</v>
      </c>
      <c r="I263" s="174" t="str">
        <f t="shared" si="260"/>
        <v>na</v>
      </c>
      <c r="J263" s="173">
        <f t="shared" ref="J263:L263" si="265">IF(E263="","",J$5)</f>
        <v>38</v>
      </c>
      <c r="K263" s="173">
        <f t="shared" si="265"/>
        <v>300</v>
      </c>
      <c r="L263" s="173">
        <f t="shared" si="265"/>
        <v>262</v>
      </c>
      <c r="M263" s="173">
        <f>IF($D263="","",'Total &amp; Budget Targets'!$G$44)</f>
        <v>0</v>
      </c>
      <c r="N263" s="173">
        <f>IF($D263="","",'Total &amp; Budget Targets'!$G$63)</f>
        <v>0</v>
      </c>
      <c r="O263" s="173">
        <f>IF($D263="","",'Total &amp; Budget Targets'!$G$69)</f>
        <v>0</v>
      </c>
    </row>
    <row r="264" spans="1:15" ht="15.75" customHeight="1" x14ac:dyDescent="0.2">
      <c r="A264" s="165">
        <f t="shared" si="262"/>
        <v>260</v>
      </c>
      <c r="B264" s="172"/>
      <c r="C264" s="169">
        <f>IF(D263="","",IF(D263+1&gt;'Date Info'!$D$21,"",D263+1))</f>
        <v>53571</v>
      </c>
      <c r="D264" s="172">
        <f>IFERROR(IF(C264="","",IF(EOMONTH(C264,0)&gt;'Date Info'!$D$21,'Date Info'!$D$21,EOMONTH(C264,0))),"")</f>
        <v>53600</v>
      </c>
      <c r="E264" s="173">
        <f>IF($D264="","",IFERROR(SUMIFS(Expenses!$E:$E,Expenses!$B:$B,"&gt;="&amp;$C264,Expenses!$B:$B,"&lt;="&amp;$D264),"na"))</f>
        <v>0</v>
      </c>
      <c r="F264" s="173">
        <f>IF($D264="","",IFERROR(SUMIFS(Income!$D:$D,Income!$B:$B,"&gt;="&amp;$C264,Income!$B:$B,"&lt;="&amp;$D264),"na"))</f>
        <v>0</v>
      </c>
      <c r="G264" s="173">
        <f t="shared" si="258"/>
        <v>0</v>
      </c>
      <c r="H264" s="174" t="str">
        <f t="shared" si="259"/>
        <v>na</v>
      </c>
      <c r="I264" s="174" t="str">
        <f t="shared" si="260"/>
        <v>na</v>
      </c>
      <c r="J264" s="173">
        <f t="shared" ref="J264:L264" si="266">IF(E264="","",J$5)</f>
        <v>38</v>
      </c>
      <c r="K264" s="173">
        <f t="shared" si="266"/>
        <v>300</v>
      </c>
      <c r="L264" s="173">
        <f t="shared" si="266"/>
        <v>262</v>
      </c>
      <c r="M264" s="173">
        <f>IF($D264="","",'Total &amp; Budget Targets'!$G$44)</f>
        <v>0</v>
      </c>
      <c r="N264" s="173">
        <f>IF($D264="","",'Total &amp; Budget Targets'!$G$63)</f>
        <v>0</v>
      </c>
      <c r="O264" s="173">
        <f>IF($D264="","",'Total &amp; Budget Targets'!$G$69)</f>
        <v>0</v>
      </c>
    </row>
    <row r="265" spans="1:15" ht="15.75" customHeight="1" x14ac:dyDescent="0.2">
      <c r="A265" s="165">
        <f t="shared" si="262"/>
        <v>261</v>
      </c>
      <c r="B265" s="172"/>
      <c r="C265" s="169">
        <f>IF(D264="","",IF(D264+1&gt;'Date Info'!$D$21,"",D264+1))</f>
        <v>53601</v>
      </c>
      <c r="D265" s="172">
        <f>IFERROR(IF(C265="","",IF(EOMONTH(C265,0)&gt;'Date Info'!$D$21,'Date Info'!$D$21,EOMONTH(C265,0))),"")</f>
        <v>53631</v>
      </c>
      <c r="E265" s="173">
        <f>IF($D265="","",IFERROR(SUMIFS(Expenses!$E:$E,Expenses!$B:$B,"&gt;="&amp;$C265,Expenses!$B:$B,"&lt;="&amp;$D265),"na"))</f>
        <v>0</v>
      </c>
      <c r="F265" s="173">
        <f>IF($D265="","",IFERROR(SUMIFS(Income!$D:$D,Income!$B:$B,"&gt;="&amp;$C265,Income!$B:$B,"&lt;="&amp;$D265),"na"))</f>
        <v>0</v>
      </c>
      <c r="G265" s="173">
        <f t="shared" si="258"/>
        <v>0</v>
      </c>
      <c r="H265" s="174" t="str">
        <f t="shared" si="259"/>
        <v>na</v>
      </c>
      <c r="I265" s="174" t="str">
        <f t="shared" si="260"/>
        <v>na</v>
      </c>
      <c r="J265" s="173">
        <f t="shared" ref="J265:L265" si="267">IF(E265="","",J$5)</f>
        <v>38</v>
      </c>
      <c r="K265" s="173">
        <f t="shared" si="267"/>
        <v>300</v>
      </c>
      <c r="L265" s="173">
        <f t="shared" si="267"/>
        <v>262</v>
      </c>
      <c r="M265" s="173">
        <f>IF($D265="","",'Total &amp; Budget Targets'!$G$44)</f>
        <v>0</v>
      </c>
      <c r="N265" s="173">
        <f>IF($D265="","",'Total &amp; Budget Targets'!$G$63)</f>
        <v>0</v>
      </c>
      <c r="O265" s="173">
        <f>IF($D265="","",'Total &amp; Budget Targets'!$G$69)</f>
        <v>0</v>
      </c>
    </row>
    <row r="266" spans="1:15" ht="15.75" customHeight="1" x14ac:dyDescent="0.2">
      <c r="A266" s="165">
        <f t="shared" si="262"/>
        <v>262</v>
      </c>
      <c r="B266" s="172"/>
      <c r="C266" s="169">
        <f>IF(D265="","",IF(D265+1&gt;'Date Info'!$D$21,"",D265+1))</f>
        <v>53632</v>
      </c>
      <c r="D266" s="172">
        <f>IFERROR(IF(C266="","",IF(EOMONTH(C266,0)&gt;'Date Info'!$D$21,'Date Info'!$D$21,EOMONTH(C266,0))),"")</f>
        <v>53661</v>
      </c>
      <c r="E266" s="173">
        <f>IF($D266="","",IFERROR(SUMIFS(Expenses!$E:$E,Expenses!$B:$B,"&gt;="&amp;$C266,Expenses!$B:$B,"&lt;="&amp;$D266),"na"))</f>
        <v>0</v>
      </c>
      <c r="F266" s="173">
        <f>IF($D266="","",IFERROR(SUMIFS(Income!$D:$D,Income!$B:$B,"&gt;="&amp;$C266,Income!$B:$B,"&lt;="&amp;$D266),"na"))</f>
        <v>0</v>
      </c>
      <c r="G266" s="173">
        <f t="shared" si="258"/>
        <v>0</v>
      </c>
      <c r="H266" s="174" t="str">
        <f t="shared" si="259"/>
        <v>na</v>
      </c>
      <c r="I266" s="174" t="str">
        <f t="shared" si="260"/>
        <v>na</v>
      </c>
      <c r="J266" s="173">
        <f t="shared" ref="J266:L266" si="268">IF(E266="","",J$5)</f>
        <v>38</v>
      </c>
      <c r="K266" s="173">
        <f t="shared" si="268"/>
        <v>300</v>
      </c>
      <c r="L266" s="173">
        <f t="shared" si="268"/>
        <v>262</v>
      </c>
      <c r="M266" s="173">
        <f>IF($D266="","",'Total &amp; Budget Targets'!$G$44)</f>
        <v>0</v>
      </c>
      <c r="N266" s="173">
        <f>IF($D266="","",'Total &amp; Budget Targets'!$G$63)</f>
        <v>0</v>
      </c>
      <c r="O266" s="173">
        <f>IF($D266="","",'Total &amp; Budget Targets'!$G$69)</f>
        <v>0</v>
      </c>
    </row>
    <row r="267" spans="1:15" ht="15.75" customHeight="1" x14ac:dyDescent="0.2">
      <c r="A267" s="165">
        <f t="shared" si="262"/>
        <v>263</v>
      </c>
      <c r="B267" s="172"/>
      <c r="C267" s="169">
        <f>IF(D266="","",IF(D266+1&gt;'Date Info'!$D$21,"",D266+1))</f>
        <v>53662</v>
      </c>
      <c r="D267" s="172">
        <f>IFERROR(IF(C267="","",IF(EOMONTH(C267,0)&gt;'Date Info'!$D$21,'Date Info'!$D$21,EOMONTH(C267,0))),"")</f>
        <v>53692</v>
      </c>
      <c r="E267" s="173">
        <f>IF($D267="","",IFERROR(SUMIFS(Expenses!$E:$E,Expenses!$B:$B,"&gt;="&amp;$C267,Expenses!$B:$B,"&lt;="&amp;$D267),"na"))</f>
        <v>0</v>
      </c>
      <c r="F267" s="173">
        <f>IF($D267="","",IFERROR(SUMIFS(Income!$D:$D,Income!$B:$B,"&gt;="&amp;$C267,Income!$B:$B,"&lt;="&amp;$D267),"na"))</f>
        <v>0</v>
      </c>
      <c r="G267" s="173">
        <f t="shared" si="258"/>
        <v>0</v>
      </c>
      <c r="H267" s="174" t="str">
        <f t="shared" si="259"/>
        <v>na</v>
      </c>
      <c r="I267" s="174" t="str">
        <f t="shared" si="260"/>
        <v>na</v>
      </c>
      <c r="J267" s="173">
        <f t="shared" ref="J267:L267" si="269">IF(E267="","",J$5)</f>
        <v>38</v>
      </c>
      <c r="K267" s="173">
        <f t="shared" si="269"/>
        <v>300</v>
      </c>
      <c r="L267" s="173">
        <f t="shared" si="269"/>
        <v>262</v>
      </c>
      <c r="M267" s="173">
        <f>IF($D267="","",'Total &amp; Budget Targets'!$G$44)</f>
        <v>0</v>
      </c>
      <c r="N267" s="173">
        <f>IF($D267="","",'Total &amp; Budget Targets'!$G$63)</f>
        <v>0</v>
      </c>
      <c r="O267" s="173">
        <f>IF($D267="","",'Total &amp; Budget Targets'!$G$69)</f>
        <v>0</v>
      </c>
    </row>
    <row r="268" spans="1:15" ht="15.75" customHeight="1" x14ac:dyDescent="0.2">
      <c r="A268" s="165">
        <f t="shared" si="262"/>
        <v>264</v>
      </c>
      <c r="B268" s="172"/>
      <c r="C268" s="169">
        <f>IF(D267="","",IF(D267+1&gt;'Date Info'!$D$21,"",D267+1))</f>
        <v>53693</v>
      </c>
      <c r="D268" s="172">
        <f>IFERROR(IF(C268="","",IF(EOMONTH(C268,0)&gt;'Date Info'!$D$21,'Date Info'!$D$21,EOMONTH(C268,0))),"")</f>
        <v>53723</v>
      </c>
      <c r="E268" s="173">
        <f>IF($D268="","",IFERROR(SUMIFS(Expenses!$E:$E,Expenses!$B:$B,"&gt;="&amp;$C268,Expenses!$B:$B,"&lt;="&amp;$D268),"na"))</f>
        <v>0</v>
      </c>
      <c r="F268" s="173">
        <f>IF($D268="","",IFERROR(SUMIFS(Income!$D:$D,Income!$B:$B,"&gt;="&amp;$C268,Income!$B:$B,"&lt;="&amp;$D268),"na"))</f>
        <v>0</v>
      </c>
      <c r="G268" s="173">
        <f t="shared" si="258"/>
        <v>0</v>
      </c>
      <c r="H268" s="174" t="str">
        <f t="shared" si="259"/>
        <v>na</v>
      </c>
      <c r="I268" s="174" t="str">
        <f t="shared" si="260"/>
        <v>na</v>
      </c>
      <c r="J268" s="173">
        <f t="shared" ref="J268:L268" si="270">IF(E268="","",J$5)</f>
        <v>38</v>
      </c>
      <c r="K268" s="173">
        <f t="shared" si="270"/>
        <v>300</v>
      </c>
      <c r="L268" s="173">
        <f t="shared" si="270"/>
        <v>262</v>
      </c>
      <c r="M268" s="173">
        <f>IF($D268="","",'Total &amp; Budget Targets'!$G$44)</f>
        <v>0</v>
      </c>
      <c r="N268" s="173">
        <f>IF($D268="","",'Total &amp; Budget Targets'!$G$63)</f>
        <v>0</v>
      </c>
      <c r="O268" s="173">
        <f>IF($D268="","",'Total &amp; Budget Targets'!$G$69)</f>
        <v>0</v>
      </c>
    </row>
    <row r="269" spans="1:15" ht="15.75" customHeight="1" x14ac:dyDescent="0.2">
      <c r="A269" s="165">
        <f t="shared" si="262"/>
        <v>265</v>
      </c>
      <c r="B269" s="172"/>
      <c r="C269" s="169">
        <f>IF(D268="","",IF(D268+1&gt;'Date Info'!$D$21,"",D268+1))</f>
        <v>53724</v>
      </c>
      <c r="D269" s="172">
        <f>IFERROR(IF(C269="","",IF(EOMONTH(C269,0)&gt;'Date Info'!$D$21,'Date Info'!$D$21,EOMONTH(C269,0))),"")</f>
        <v>53751</v>
      </c>
      <c r="E269" s="173">
        <f>IF($D269="","",IFERROR(SUMIFS(Expenses!$E:$E,Expenses!$B:$B,"&gt;="&amp;$C269,Expenses!$B:$B,"&lt;="&amp;$D269),"na"))</f>
        <v>0</v>
      </c>
      <c r="F269" s="173">
        <f>IF($D269="","",IFERROR(SUMIFS(Income!$D:$D,Income!$B:$B,"&gt;="&amp;$C269,Income!$B:$B,"&lt;="&amp;$D269),"na"))</f>
        <v>0</v>
      </c>
      <c r="G269" s="173">
        <f t="shared" si="258"/>
        <v>0</v>
      </c>
      <c r="H269" s="174" t="str">
        <f t="shared" si="259"/>
        <v>na</v>
      </c>
      <c r="I269" s="174" t="str">
        <f t="shared" si="260"/>
        <v>na</v>
      </c>
      <c r="J269" s="173">
        <f t="shared" ref="J269:L269" si="271">IF(E269="","",J$5)</f>
        <v>38</v>
      </c>
      <c r="K269" s="173">
        <f t="shared" si="271"/>
        <v>300</v>
      </c>
      <c r="L269" s="173">
        <f t="shared" si="271"/>
        <v>262</v>
      </c>
      <c r="M269" s="173">
        <f>IF($D269="","",'Total &amp; Budget Targets'!$G$44)</f>
        <v>0</v>
      </c>
      <c r="N269" s="173">
        <f>IF($D269="","",'Total &amp; Budget Targets'!$G$63)</f>
        <v>0</v>
      </c>
      <c r="O269" s="173">
        <f>IF($D269="","",'Total &amp; Budget Targets'!$G$69)</f>
        <v>0</v>
      </c>
    </row>
    <row r="270" spans="1:15" ht="15.75" customHeight="1" x14ac:dyDescent="0.2">
      <c r="A270" s="165">
        <f t="shared" si="262"/>
        <v>266</v>
      </c>
      <c r="B270" s="172"/>
      <c r="C270" s="169">
        <f>IF(D269="","",IF(D269+1&gt;'Date Info'!$D$21,"",D269+1))</f>
        <v>53752</v>
      </c>
      <c r="D270" s="172">
        <f>IFERROR(IF(C270="","",IF(EOMONTH(C270,0)&gt;'Date Info'!$D$21,'Date Info'!$D$21,EOMONTH(C270,0))),"")</f>
        <v>53782</v>
      </c>
      <c r="E270" s="173">
        <f>IF($D270="","",IFERROR(SUMIFS(Expenses!$E:$E,Expenses!$B:$B,"&gt;="&amp;$C270,Expenses!$B:$B,"&lt;="&amp;$D270),"na"))</f>
        <v>0</v>
      </c>
      <c r="F270" s="173">
        <f>IF($D270="","",IFERROR(SUMIFS(Income!$D:$D,Income!$B:$B,"&gt;="&amp;$C270,Income!$B:$B,"&lt;="&amp;$D270),"na"))</f>
        <v>0</v>
      </c>
      <c r="G270" s="173">
        <f t="shared" si="258"/>
        <v>0</v>
      </c>
      <c r="H270" s="174" t="str">
        <f t="shared" si="259"/>
        <v>na</v>
      </c>
      <c r="I270" s="174" t="str">
        <f t="shared" si="260"/>
        <v>na</v>
      </c>
      <c r="J270" s="173">
        <f t="shared" ref="J270:L270" si="272">IF(E270="","",J$5)</f>
        <v>38</v>
      </c>
      <c r="K270" s="173">
        <f t="shared" si="272"/>
        <v>300</v>
      </c>
      <c r="L270" s="173">
        <f t="shared" si="272"/>
        <v>262</v>
      </c>
      <c r="M270" s="173">
        <f>IF($D270="","",'Total &amp; Budget Targets'!$G$44)</f>
        <v>0</v>
      </c>
      <c r="N270" s="173">
        <f>IF($D270="","",'Total &amp; Budget Targets'!$G$63)</f>
        <v>0</v>
      </c>
      <c r="O270" s="173">
        <f>IF($D270="","",'Total &amp; Budget Targets'!$G$69)</f>
        <v>0</v>
      </c>
    </row>
    <row r="271" spans="1:15" ht="15.75" customHeight="1" x14ac:dyDescent="0.2">
      <c r="A271" s="165">
        <f t="shared" si="262"/>
        <v>267</v>
      </c>
      <c r="B271" s="172"/>
      <c r="C271" s="169">
        <f>IF(D270="","",IF(D270+1&gt;'Date Info'!$D$21,"",D270+1))</f>
        <v>53783</v>
      </c>
      <c r="D271" s="172">
        <f>IFERROR(IF(C271="","",IF(EOMONTH(C271,0)&gt;'Date Info'!$D$21,'Date Info'!$D$21,EOMONTH(C271,0))),"")</f>
        <v>53812</v>
      </c>
      <c r="E271" s="173">
        <f>IF($D271="","",IFERROR(SUMIFS(Expenses!$E:$E,Expenses!$B:$B,"&gt;="&amp;$C271,Expenses!$B:$B,"&lt;="&amp;$D271),"na"))</f>
        <v>0</v>
      </c>
      <c r="F271" s="173">
        <f>IF($D271="","",IFERROR(SUMIFS(Income!$D:$D,Income!$B:$B,"&gt;="&amp;$C271,Income!$B:$B,"&lt;="&amp;$D271),"na"))</f>
        <v>0</v>
      </c>
      <c r="G271" s="173">
        <f t="shared" si="258"/>
        <v>0</v>
      </c>
      <c r="H271" s="174" t="str">
        <f t="shared" si="259"/>
        <v>na</v>
      </c>
      <c r="I271" s="174" t="str">
        <f t="shared" si="260"/>
        <v>na</v>
      </c>
      <c r="J271" s="173">
        <f t="shared" ref="J271:L271" si="273">IF(E271="","",J$5)</f>
        <v>38</v>
      </c>
      <c r="K271" s="173">
        <f t="shared" si="273"/>
        <v>300</v>
      </c>
      <c r="L271" s="173">
        <f t="shared" si="273"/>
        <v>262</v>
      </c>
      <c r="M271" s="173">
        <f>IF($D271="","",'Total &amp; Budget Targets'!$G$44)</f>
        <v>0</v>
      </c>
      <c r="N271" s="173">
        <f>IF($D271="","",'Total &amp; Budget Targets'!$G$63)</f>
        <v>0</v>
      </c>
      <c r="O271" s="173">
        <f>IF($D271="","",'Total &amp; Budget Targets'!$G$69)</f>
        <v>0</v>
      </c>
    </row>
    <row r="272" spans="1:15" ht="15.75" customHeight="1" x14ac:dyDescent="0.2">
      <c r="A272" s="165">
        <f t="shared" si="262"/>
        <v>268</v>
      </c>
      <c r="B272" s="172"/>
      <c r="C272" s="169">
        <f>IF(D271="","",IF(D271+1&gt;'Date Info'!$D$21,"",D271+1))</f>
        <v>53813</v>
      </c>
      <c r="D272" s="172">
        <f>IFERROR(IF(C272="","",IF(EOMONTH(C272,0)&gt;'Date Info'!$D$21,'Date Info'!$D$21,EOMONTH(C272,0))),"")</f>
        <v>53843</v>
      </c>
      <c r="E272" s="173">
        <f>IF($D272="","",IFERROR(SUMIFS(Expenses!$E:$E,Expenses!$B:$B,"&gt;="&amp;$C272,Expenses!$B:$B,"&lt;="&amp;$D272),"na"))</f>
        <v>0</v>
      </c>
      <c r="F272" s="173">
        <f>IF($D272="","",IFERROR(SUMIFS(Income!$D:$D,Income!$B:$B,"&gt;="&amp;$C272,Income!$B:$B,"&lt;="&amp;$D272),"na"))</f>
        <v>0</v>
      </c>
      <c r="G272" s="173">
        <f t="shared" si="258"/>
        <v>0</v>
      </c>
      <c r="H272" s="174" t="str">
        <f t="shared" si="259"/>
        <v>na</v>
      </c>
      <c r="I272" s="174" t="str">
        <f t="shared" si="260"/>
        <v>na</v>
      </c>
      <c r="J272" s="173">
        <f t="shared" ref="J272:L272" si="274">IF(E272="","",J$5)</f>
        <v>38</v>
      </c>
      <c r="K272" s="173">
        <f t="shared" si="274"/>
        <v>300</v>
      </c>
      <c r="L272" s="173">
        <f t="shared" si="274"/>
        <v>262</v>
      </c>
      <c r="M272" s="173">
        <f>IF($D272="","",'Total &amp; Budget Targets'!$G$44)</f>
        <v>0</v>
      </c>
      <c r="N272" s="173">
        <f>IF($D272="","",'Total &amp; Budget Targets'!$G$63)</f>
        <v>0</v>
      </c>
      <c r="O272" s="173">
        <f>IF($D272="","",'Total &amp; Budget Targets'!$G$69)</f>
        <v>0</v>
      </c>
    </row>
    <row r="273" spans="1:15" ht="15.75" customHeight="1" x14ac:dyDescent="0.2">
      <c r="A273" s="165">
        <f t="shared" si="262"/>
        <v>269</v>
      </c>
      <c r="B273" s="172"/>
      <c r="C273" s="169">
        <f>IF(D272="","",IF(D272+1&gt;'Date Info'!$D$21,"",D272+1))</f>
        <v>53844</v>
      </c>
      <c r="D273" s="172">
        <f>IFERROR(IF(C273="","",IF(EOMONTH(C273,0)&gt;'Date Info'!$D$21,'Date Info'!$D$21,EOMONTH(C273,0))),"")</f>
        <v>53873</v>
      </c>
      <c r="E273" s="173">
        <f>IF($D273="","",IFERROR(SUMIFS(Expenses!$E:$E,Expenses!$B:$B,"&gt;="&amp;$C273,Expenses!$B:$B,"&lt;="&amp;$D273),"na"))</f>
        <v>0</v>
      </c>
      <c r="F273" s="173">
        <f>IF($D273="","",IFERROR(SUMIFS(Income!$D:$D,Income!$B:$B,"&gt;="&amp;$C273,Income!$B:$B,"&lt;="&amp;$D273),"na"))</f>
        <v>0</v>
      </c>
      <c r="G273" s="173">
        <f t="shared" si="258"/>
        <v>0</v>
      </c>
      <c r="H273" s="174" t="str">
        <f t="shared" si="259"/>
        <v>na</v>
      </c>
      <c r="I273" s="174" t="str">
        <f t="shared" si="260"/>
        <v>na</v>
      </c>
      <c r="J273" s="173">
        <f t="shared" ref="J273:L273" si="275">IF(E273="","",J$5)</f>
        <v>38</v>
      </c>
      <c r="K273" s="173">
        <f t="shared" si="275"/>
        <v>300</v>
      </c>
      <c r="L273" s="173">
        <f t="shared" si="275"/>
        <v>262</v>
      </c>
      <c r="M273" s="173">
        <f>IF($D273="","",'Total &amp; Budget Targets'!$G$44)</f>
        <v>0</v>
      </c>
      <c r="N273" s="173">
        <f>IF($D273="","",'Total &amp; Budget Targets'!$G$63)</f>
        <v>0</v>
      </c>
      <c r="O273" s="173">
        <f>IF($D273="","",'Total &amp; Budget Targets'!$G$69)</f>
        <v>0</v>
      </c>
    </row>
    <row r="274" spans="1:15" ht="15.75" customHeight="1" x14ac:dyDescent="0.2">
      <c r="A274" s="165">
        <f t="shared" si="262"/>
        <v>270</v>
      </c>
      <c r="B274" s="172"/>
      <c r="C274" s="169">
        <f>IF(D273="","",IF(D273+1&gt;'Date Info'!$D$21,"",D273+1))</f>
        <v>53874</v>
      </c>
      <c r="D274" s="172">
        <f>IFERROR(IF(C274="","",IF(EOMONTH(C274,0)&gt;'Date Info'!$D$21,'Date Info'!$D$21,EOMONTH(C274,0))),"")</f>
        <v>53904</v>
      </c>
      <c r="E274" s="173">
        <f>IF($D274="","",IFERROR(SUMIFS(Expenses!$E:$E,Expenses!$B:$B,"&gt;="&amp;$C274,Expenses!$B:$B,"&lt;="&amp;$D274),"na"))</f>
        <v>0</v>
      </c>
      <c r="F274" s="173">
        <f>IF($D274="","",IFERROR(SUMIFS(Income!$D:$D,Income!$B:$B,"&gt;="&amp;$C274,Income!$B:$B,"&lt;="&amp;$D274),"na"))</f>
        <v>0</v>
      </c>
      <c r="G274" s="173">
        <f t="shared" si="258"/>
        <v>0</v>
      </c>
      <c r="H274" s="174" t="str">
        <f t="shared" si="259"/>
        <v>na</v>
      </c>
      <c r="I274" s="174" t="str">
        <f t="shared" si="260"/>
        <v>na</v>
      </c>
      <c r="J274" s="173">
        <f t="shared" ref="J274:L274" si="276">IF(E274="","",J$5)</f>
        <v>38</v>
      </c>
      <c r="K274" s="173">
        <f t="shared" si="276"/>
        <v>300</v>
      </c>
      <c r="L274" s="173">
        <f t="shared" si="276"/>
        <v>262</v>
      </c>
      <c r="M274" s="173">
        <f>IF($D274="","",'Total &amp; Budget Targets'!$G$44)</f>
        <v>0</v>
      </c>
      <c r="N274" s="173">
        <f>IF($D274="","",'Total &amp; Budget Targets'!$G$63)</f>
        <v>0</v>
      </c>
      <c r="O274" s="173">
        <f>IF($D274="","",'Total &amp; Budget Targets'!$G$69)</f>
        <v>0</v>
      </c>
    </row>
    <row r="275" spans="1:15" ht="15.75" customHeight="1" x14ac:dyDescent="0.2">
      <c r="A275" s="165">
        <f t="shared" si="262"/>
        <v>271</v>
      </c>
      <c r="B275" s="172"/>
      <c r="C275" s="169">
        <f>IF(D274="","",IF(D274+1&gt;'Date Info'!$D$21,"",D274+1))</f>
        <v>53905</v>
      </c>
      <c r="D275" s="172">
        <f>IFERROR(IF(C275="","",IF(EOMONTH(C275,0)&gt;'Date Info'!$D$21,'Date Info'!$D$21,EOMONTH(C275,0))),"")</f>
        <v>53935</v>
      </c>
      <c r="E275" s="173">
        <f>IF($D275="","",IFERROR(SUMIFS(Expenses!$E:$E,Expenses!$B:$B,"&gt;="&amp;$C275,Expenses!$B:$B,"&lt;="&amp;$D275),"na"))</f>
        <v>0</v>
      </c>
      <c r="F275" s="173">
        <f>IF($D275="","",IFERROR(SUMIFS(Income!$D:$D,Income!$B:$B,"&gt;="&amp;$C275,Income!$B:$B,"&lt;="&amp;$D275),"na"))</f>
        <v>0</v>
      </c>
      <c r="G275" s="173">
        <f t="shared" si="258"/>
        <v>0</v>
      </c>
      <c r="H275" s="174" t="str">
        <f t="shared" si="259"/>
        <v>na</v>
      </c>
      <c r="I275" s="174" t="str">
        <f t="shared" si="260"/>
        <v>na</v>
      </c>
      <c r="J275" s="173">
        <f t="shared" ref="J275:L275" si="277">IF(E275="","",J$5)</f>
        <v>38</v>
      </c>
      <c r="K275" s="173">
        <f t="shared" si="277"/>
        <v>300</v>
      </c>
      <c r="L275" s="173">
        <f t="shared" si="277"/>
        <v>262</v>
      </c>
      <c r="M275" s="173">
        <f>IF($D275="","",'Total &amp; Budget Targets'!$G$44)</f>
        <v>0</v>
      </c>
      <c r="N275" s="173">
        <f>IF($D275="","",'Total &amp; Budget Targets'!$G$63)</f>
        <v>0</v>
      </c>
      <c r="O275" s="173">
        <f>IF($D275="","",'Total &amp; Budget Targets'!$G$69)</f>
        <v>0</v>
      </c>
    </row>
    <row r="276" spans="1:15" ht="15.75" customHeight="1" x14ac:dyDescent="0.2">
      <c r="A276" s="165">
        <f t="shared" si="262"/>
        <v>272</v>
      </c>
      <c r="B276" s="172"/>
      <c r="C276" s="169">
        <f>IF(D275="","",IF(D275+1&gt;'Date Info'!$D$21,"",D275+1))</f>
        <v>53936</v>
      </c>
      <c r="D276" s="172">
        <f>IFERROR(IF(C276="","",IF(EOMONTH(C276,0)&gt;'Date Info'!$D$21,'Date Info'!$D$21,EOMONTH(C276,0))),"")</f>
        <v>53965</v>
      </c>
      <c r="E276" s="173">
        <f>IF($D276="","",IFERROR(SUMIFS(Expenses!$E:$E,Expenses!$B:$B,"&gt;="&amp;$C276,Expenses!$B:$B,"&lt;="&amp;$D276),"na"))</f>
        <v>0</v>
      </c>
      <c r="F276" s="173">
        <f>IF($D276="","",IFERROR(SUMIFS(Income!$D:$D,Income!$B:$B,"&gt;="&amp;$C276,Income!$B:$B,"&lt;="&amp;$D276),"na"))</f>
        <v>0</v>
      </c>
      <c r="G276" s="173">
        <f t="shared" si="258"/>
        <v>0</v>
      </c>
      <c r="H276" s="174" t="str">
        <f t="shared" si="259"/>
        <v>na</v>
      </c>
      <c r="I276" s="174" t="str">
        <f t="shared" si="260"/>
        <v>na</v>
      </c>
      <c r="J276" s="173">
        <f t="shared" ref="J276:L276" si="278">IF(E276="","",J$5)</f>
        <v>38</v>
      </c>
      <c r="K276" s="173">
        <f t="shared" si="278"/>
        <v>300</v>
      </c>
      <c r="L276" s="173">
        <f t="shared" si="278"/>
        <v>262</v>
      </c>
      <c r="M276" s="173">
        <f>IF($D276="","",'Total &amp; Budget Targets'!$G$44)</f>
        <v>0</v>
      </c>
      <c r="N276" s="173">
        <f>IF($D276="","",'Total &amp; Budget Targets'!$G$63)</f>
        <v>0</v>
      </c>
      <c r="O276" s="173">
        <f>IF($D276="","",'Total &amp; Budget Targets'!$G$69)</f>
        <v>0</v>
      </c>
    </row>
    <row r="277" spans="1:15" ht="15.75" customHeight="1" x14ac:dyDescent="0.2">
      <c r="A277" s="165">
        <f t="shared" si="262"/>
        <v>273</v>
      </c>
      <c r="B277" s="172"/>
      <c r="C277" s="169">
        <f>IF(D276="","",IF(D276+1&gt;'Date Info'!$D$21,"",D276+1))</f>
        <v>53966</v>
      </c>
      <c r="D277" s="172">
        <f>IFERROR(IF(C277="","",IF(EOMONTH(C277,0)&gt;'Date Info'!$D$21,'Date Info'!$D$21,EOMONTH(C277,0))),"")</f>
        <v>53996</v>
      </c>
      <c r="E277" s="173">
        <f>IF($D277="","",IFERROR(SUMIFS(Expenses!$E:$E,Expenses!$B:$B,"&gt;="&amp;$C277,Expenses!$B:$B,"&lt;="&amp;$D277),"na"))</f>
        <v>0</v>
      </c>
      <c r="F277" s="173">
        <f>IF($D277="","",IFERROR(SUMIFS(Income!$D:$D,Income!$B:$B,"&gt;="&amp;$C277,Income!$B:$B,"&lt;="&amp;$D277),"na"))</f>
        <v>0</v>
      </c>
      <c r="G277" s="173">
        <f t="shared" si="258"/>
        <v>0</v>
      </c>
      <c r="H277" s="174" t="str">
        <f t="shared" si="259"/>
        <v>na</v>
      </c>
      <c r="I277" s="174" t="str">
        <f t="shared" si="260"/>
        <v>na</v>
      </c>
      <c r="J277" s="173">
        <f t="shared" ref="J277:L277" si="279">IF(E277="","",J$5)</f>
        <v>38</v>
      </c>
      <c r="K277" s="173">
        <f t="shared" si="279"/>
        <v>300</v>
      </c>
      <c r="L277" s="173">
        <f t="shared" si="279"/>
        <v>262</v>
      </c>
      <c r="M277" s="173">
        <f>IF($D277="","",'Total &amp; Budget Targets'!$G$44)</f>
        <v>0</v>
      </c>
      <c r="N277" s="173">
        <f>IF($D277="","",'Total &amp; Budget Targets'!$G$63)</f>
        <v>0</v>
      </c>
      <c r="O277" s="173">
        <f>IF($D277="","",'Total &amp; Budget Targets'!$G$69)</f>
        <v>0</v>
      </c>
    </row>
    <row r="278" spans="1:15" ht="15.75" customHeight="1" x14ac:dyDescent="0.2">
      <c r="A278" s="165">
        <f t="shared" si="262"/>
        <v>274</v>
      </c>
      <c r="B278" s="172"/>
      <c r="C278" s="169">
        <f>IF(D277="","",IF(D277+1&gt;'Date Info'!$D$21,"",D277+1))</f>
        <v>53997</v>
      </c>
      <c r="D278" s="172">
        <f>IFERROR(IF(C278="","",IF(EOMONTH(C278,0)&gt;'Date Info'!$D$21,'Date Info'!$D$21,EOMONTH(C278,0))),"")</f>
        <v>54026</v>
      </c>
      <c r="E278" s="173">
        <f>IF($D278="","",IFERROR(SUMIFS(Expenses!$E:$E,Expenses!$B:$B,"&gt;="&amp;$C278,Expenses!$B:$B,"&lt;="&amp;$D278),"na"))</f>
        <v>0</v>
      </c>
      <c r="F278" s="173">
        <f>IF($D278="","",IFERROR(SUMIFS(Income!$D:$D,Income!$B:$B,"&gt;="&amp;$C278,Income!$B:$B,"&lt;="&amp;$D278),"na"))</f>
        <v>0</v>
      </c>
      <c r="G278" s="173">
        <f t="shared" si="258"/>
        <v>0</v>
      </c>
      <c r="H278" s="174" t="str">
        <f t="shared" si="259"/>
        <v>na</v>
      </c>
      <c r="I278" s="174" t="str">
        <f t="shared" si="260"/>
        <v>na</v>
      </c>
      <c r="J278" s="173">
        <f t="shared" ref="J278:L278" si="280">IF(E278="","",J$5)</f>
        <v>38</v>
      </c>
      <c r="K278" s="173">
        <f t="shared" si="280"/>
        <v>300</v>
      </c>
      <c r="L278" s="173">
        <f t="shared" si="280"/>
        <v>262</v>
      </c>
      <c r="M278" s="173">
        <f>IF($D278="","",'Total &amp; Budget Targets'!$G$44)</f>
        <v>0</v>
      </c>
      <c r="N278" s="173">
        <f>IF($D278="","",'Total &amp; Budget Targets'!$G$63)</f>
        <v>0</v>
      </c>
      <c r="O278" s="173">
        <f>IF($D278="","",'Total &amp; Budget Targets'!$G$69)</f>
        <v>0</v>
      </c>
    </row>
    <row r="279" spans="1:15" ht="15.75" customHeight="1" x14ac:dyDescent="0.2">
      <c r="A279" s="165">
        <f t="shared" si="262"/>
        <v>275</v>
      </c>
      <c r="B279" s="172"/>
      <c r="C279" s="169">
        <f>IF(D278="","",IF(D278+1&gt;'Date Info'!$D$21,"",D278+1))</f>
        <v>54027</v>
      </c>
      <c r="D279" s="172">
        <f>IFERROR(IF(C279="","",IF(EOMONTH(C279,0)&gt;'Date Info'!$D$21,'Date Info'!$D$21,EOMONTH(C279,0))),"")</f>
        <v>54057</v>
      </c>
      <c r="E279" s="173">
        <f>IF($D279="","",IFERROR(SUMIFS(Expenses!$E:$E,Expenses!$B:$B,"&gt;="&amp;$C279,Expenses!$B:$B,"&lt;="&amp;$D279),"na"))</f>
        <v>0</v>
      </c>
      <c r="F279" s="173">
        <f>IF($D279="","",IFERROR(SUMIFS(Income!$D:$D,Income!$B:$B,"&gt;="&amp;$C279,Income!$B:$B,"&lt;="&amp;$D279),"na"))</f>
        <v>0</v>
      </c>
      <c r="G279" s="173">
        <f t="shared" si="258"/>
        <v>0</v>
      </c>
      <c r="H279" s="174" t="str">
        <f t="shared" si="259"/>
        <v>na</v>
      </c>
      <c r="I279" s="174" t="str">
        <f t="shared" si="260"/>
        <v>na</v>
      </c>
      <c r="J279" s="173">
        <f t="shared" ref="J279:L279" si="281">IF(E279="","",J$5)</f>
        <v>38</v>
      </c>
      <c r="K279" s="173">
        <f t="shared" si="281"/>
        <v>300</v>
      </c>
      <c r="L279" s="173">
        <f t="shared" si="281"/>
        <v>262</v>
      </c>
      <c r="M279" s="173">
        <f>IF($D279="","",'Total &amp; Budget Targets'!$G$44)</f>
        <v>0</v>
      </c>
      <c r="N279" s="173">
        <f>IF($D279="","",'Total &amp; Budget Targets'!$G$63)</f>
        <v>0</v>
      </c>
      <c r="O279" s="173">
        <f>IF($D279="","",'Total &amp; Budget Targets'!$G$69)</f>
        <v>0</v>
      </c>
    </row>
    <row r="280" spans="1:15" ht="15.75" customHeight="1" x14ac:dyDescent="0.2">
      <c r="A280" s="165">
        <f t="shared" si="262"/>
        <v>276</v>
      </c>
      <c r="B280" s="172"/>
      <c r="C280" s="169">
        <f>IF(D279="","",IF(D279+1&gt;'Date Info'!$D$21,"",D279+1))</f>
        <v>54058</v>
      </c>
      <c r="D280" s="172">
        <f>IFERROR(IF(C280="","",IF(EOMONTH(C280,0)&gt;'Date Info'!$D$21,'Date Info'!$D$21,EOMONTH(C280,0))),"")</f>
        <v>54088</v>
      </c>
      <c r="E280" s="173">
        <f>IF($D280="","",IFERROR(SUMIFS(Expenses!$E:$E,Expenses!$B:$B,"&gt;="&amp;$C280,Expenses!$B:$B,"&lt;="&amp;$D280),"na"))</f>
        <v>0</v>
      </c>
      <c r="F280" s="173">
        <f>IF($D280="","",IFERROR(SUMIFS(Income!$D:$D,Income!$B:$B,"&gt;="&amp;$C280,Income!$B:$B,"&lt;="&amp;$D280),"na"))</f>
        <v>0</v>
      </c>
      <c r="G280" s="173">
        <f t="shared" si="258"/>
        <v>0</v>
      </c>
      <c r="H280" s="174" t="str">
        <f t="shared" si="259"/>
        <v>na</v>
      </c>
      <c r="I280" s="174" t="str">
        <f t="shared" si="260"/>
        <v>na</v>
      </c>
      <c r="J280" s="173">
        <f t="shared" ref="J280:L280" si="282">IF(E280="","",J$5)</f>
        <v>38</v>
      </c>
      <c r="K280" s="173">
        <f t="shared" si="282"/>
        <v>300</v>
      </c>
      <c r="L280" s="173">
        <f t="shared" si="282"/>
        <v>262</v>
      </c>
      <c r="M280" s="173">
        <f>IF($D280="","",'Total &amp; Budget Targets'!$G$44)</f>
        <v>0</v>
      </c>
      <c r="N280" s="173">
        <f>IF($D280="","",'Total &amp; Budget Targets'!$G$63)</f>
        <v>0</v>
      </c>
      <c r="O280" s="173">
        <f>IF($D280="","",'Total &amp; Budget Targets'!$G$69)</f>
        <v>0</v>
      </c>
    </row>
    <row r="281" spans="1:15" ht="15.75" customHeight="1" x14ac:dyDescent="0.2">
      <c r="A281" s="165">
        <f t="shared" si="262"/>
        <v>277</v>
      </c>
      <c r="B281" s="172"/>
      <c r="C281" s="169">
        <f>IF(D280="","",IF(D280+1&gt;'Date Info'!$D$21,"",D280+1))</f>
        <v>54089</v>
      </c>
      <c r="D281" s="172">
        <f>IFERROR(IF(C281="","",IF(EOMONTH(C281,0)&gt;'Date Info'!$D$21,'Date Info'!$D$21,EOMONTH(C281,0))),"")</f>
        <v>54117</v>
      </c>
      <c r="E281" s="173">
        <f>IF($D281="","",IFERROR(SUMIFS(Expenses!$E:$E,Expenses!$B:$B,"&gt;="&amp;$C281,Expenses!$B:$B,"&lt;="&amp;$D281),"na"))</f>
        <v>0</v>
      </c>
      <c r="F281" s="173">
        <f>IF($D281="","",IFERROR(SUMIFS(Income!$D:$D,Income!$B:$B,"&gt;="&amp;$C281,Income!$B:$B,"&lt;="&amp;$D281),"na"))</f>
        <v>0</v>
      </c>
      <c r="G281" s="173">
        <f t="shared" si="258"/>
        <v>0</v>
      </c>
      <c r="H281" s="174" t="str">
        <f t="shared" si="259"/>
        <v>na</v>
      </c>
      <c r="I281" s="174" t="str">
        <f t="shared" si="260"/>
        <v>na</v>
      </c>
      <c r="J281" s="173">
        <f t="shared" ref="J281:L281" si="283">IF(E281="","",J$5)</f>
        <v>38</v>
      </c>
      <c r="K281" s="173">
        <f t="shared" si="283"/>
        <v>300</v>
      </c>
      <c r="L281" s="173">
        <f t="shared" si="283"/>
        <v>262</v>
      </c>
      <c r="M281" s="173">
        <f>IF($D281="","",'Total &amp; Budget Targets'!$G$44)</f>
        <v>0</v>
      </c>
      <c r="N281" s="173">
        <f>IF($D281="","",'Total &amp; Budget Targets'!$G$63)</f>
        <v>0</v>
      </c>
      <c r="O281" s="173">
        <f>IF($D281="","",'Total &amp; Budget Targets'!$G$69)</f>
        <v>0</v>
      </c>
    </row>
    <row r="282" spans="1:15" ht="15.75" customHeight="1" x14ac:dyDescent="0.2">
      <c r="A282" s="165">
        <f t="shared" si="262"/>
        <v>278</v>
      </c>
      <c r="B282" s="172"/>
      <c r="C282" s="169">
        <f>IF(D281="","",IF(D281+1&gt;'Date Info'!$D$21,"",D281+1))</f>
        <v>54118</v>
      </c>
      <c r="D282" s="172">
        <f>IFERROR(IF(C282="","",IF(EOMONTH(C282,0)&gt;'Date Info'!$D$21,'Date Info'!$D$21,EOMONTH(C282,0))),"")</f>
        <v>54148</v>
      </c>
      <c r="E282" s="173">
        <f>IF($D282="","",IFERROR(SUMIFS(Expenses!$E:$E,Expenses!$B:$B,"&gt;="&amp;$C282,Expenses!$B:$B,"&lt;="&amp;$D282),"na"))</f>
        <v>0</v>
      </c>
      <c r="F282" s="173">
        <f>IF($D282="","",IFERROR(SUMIFS(Income!$D:$D,Income!$B:$B,"&gt;="&amp;$C282,Income!$B:$B,"&lt;="&amp;$D282),"na"))</f>
        <v>0</v>
      </c>
      <c r="G282" s="173">
        <f t="shared" si="258"/>
        <v>0</v>
      </c>
      <c r="H282" s="174" t="str">
        <f t="shared" si="259"/>
        <v>na</v>
      </c>
      <c r="I282" s="174" t="str">
        <f t="shared" si="260"/>
        <v>na</v>
      </c>
      <c r="J282" s="173">
        <f t="shared" ref="J282:L282" si="284">IF(E282="","",J$5)</f>
        <v>38</v>
      </c>
      <c r="K282" s="173">
        <f t="shared" si="284"/>
        <v>300</v>
      </c>
      <c r="L282" s="173">
        <f t="shared" si="284"/>
        <v>262</v>
      </c>
      <c r="M282" s="173">
        <f>IF($D282="","",'Total &amp; Budget Targets'!$G$44)</f>
        <v>0</v>
      </c>
      <c r="N282" s="173">
        <f>IF($D282="","",'Total &amp; Budget Targets'!$G$63)</f>
        <v>0</v>
      </c>
      <c r="O282" s="173">
        <f>IF($D282="","",'Total &amp; Budget Targets'!$G$69)</f>
        <v>0</v>
      </c>
    </row>
    <row r="283" spans="1:15" ht="15.75" customHeight="1" x14ac:dyDescent="0.2">
      <c r="A283" s="165">
        <f t="shared" si="262"/>
        <v>279</v>
      </c>
      <c r="B283" s="172"/>
      <c r="C283" s="169">
        <f>IF(D282="","",IF(D282+1&gt;'Date Info'!$D$21,"",D282+1))</f>
        <v>54149</v>
      </c>
      <c r="D283" s="172">
        <f>IFERROR(IF(C283="","",IF(EOMONTH(C283,0)&gt;'Date Info'!$D$21,'Date Info'!$D$21,EOMONTH(C283,0))),"")</f>
        <v>54178</v>
      </c>
      <c r="E283" s="173">
        <f>IF($D283="","",IFERROR(SUMIFS(Expenses!$E:$E,Expenses!$B:$B,"&gt;="&amp;$C283,Expenses!$B:$B,"&lt;="&amp;$D283),"na"))</f>
        <v>0</v>
      </c>
      <c r="F283" s="173">
        <f>IF($D283="","",IFERROR(SUMIFS(Income!$D:$D,Income!$B:$B,"&gt;="&amp;$C283,Income!$B:$B,"&lt;="&amp;$D283),"na"))</f>
        <v>0</v>
      </c>
      <c r="G283" s="173">
        <f t="shared" si="258"/>
        <v>0</v>
      </c>
      <c r="H283" s="174" t="str">
        <f t="shared" si="259"/>
        <v>na</v>
      </c>
      <c r="I283" s="174" t="str">
        <f t="shared" si="260"/>
        <v>na</v>
      </c>
      <c r="J283" s="173">
        <f t="shared" ref="J283:L283" si="285">IF(E283="","",J$5)</f>
        <v>38</v>
      </c>
      <c r="K283" s="173">
        <f t="shared" si="285"/>
        <v>300</v>
      </c>
      <c r="L283" s="173">
        <f t="shared" si="285"/>
        <v>262</v>
      </c>
      <c r="M283" s="173">
        <f>IF($D283="","",'Total &amp; Budget Targets'!$G$44)</f>
        <v>0</v>
      </c>
      <c r="N283" s="173">
        <f>IF($D283="","",'Total &amp; Budget Targets'!$G$63)</f>
        <v>0</v>
      </c>
      <c r="O283" s="173">
        <f>IF($D283="","",'Total &amp; Budget Targets'!$G$69)</f>
        <v>0</v>
      </c>
    </row>
    <row r="284" spans="1:15" ht="15.75" customHeight="1" x14ac:dyDescent="0.2">
      <c r="A284" s="165">
        <f t="shared" si="262"/>
        <v>280</v>
      </c>
      <c r="B284" s="172"/>
      <c r="C284" s="169">
        <f>IF(D283="","",IF(D283+1&gt;'Date Info'!$D$21,"",D283+1))</f>
        <v>54179</v>
      </c>
      <c r="D284" s="172">
        <f>IFERROR(IF(C284="","",IF(EOMONTH(C284,0)&gt;'Date Info'!$D$21,'Date Info'!$D$21,EOMONTH(C284,0))),"")</f>
        <v>54209</v>
      </c>
      <c r="E284" s="173">
        <f>IF($D284="","",IFERROR(SUMIFS(Expenses!$E:$E,Expenses!$B:$B,"&gt;="&amp;$C284,Expenses!$B:$B,"&lt;="&amp;$D284),"na"))</f>
        <v>0</v>
      </c>
      <c r="F284" s="173">
        <f>IF($D284="","",IFERROR(SUMIFS(Income!$D:$D,Income!$B:$B,"&gt;="&amp;$C284,Income!$B:$B,"&lt;="&amp;$D284),"na"))</f>
        <v>0</v>
      </c>
      <c r="G284" s="173">
        <f t="shared" si="258"/>
        <v>0</v>
      </c>
      <c r="H284" s="174" t="str">
        <f t="shared" si="259"/>
        <v>na</v>
      </c>
      <c r="I284" s="174" t="str">
        <f t="shared" si="260"/>
        <v>na</v>
      </c>
      <c r="J284" s="173">
        <f t="shared" ref="J284:L284" si="286">IF(E284="","",J$5)</f>
        <v>38</v>
      </c>
      <c r="K284" s="173">
        <f t="shared" si="286"/>
        <v>300</v>
      </c>
      <c r="L284" s="173">
        <f t="shared" si="286"/>
        <v>262</v>
      </c>
      <c r="M284" s="173">
        <f>IF($D284="","",'Total &amp; Budget Targets'!$G$44)</f>
        <v>0</v>
      </c>
      <c r="N284" s="173">
        <f>IF($D284="","",'Total &amp; Budget Targets'!$G$63)</f>
        <v>0</v>
      </c>
      <c r="O284" s="173">
        <f>IF($D284="","",'Total &amp; Budget Targets'!$G$69)</f>
        <v>0</v>
      </c>
    </row>
    <row r="285" spans="1:15" ht="15.75" customHeight="1" x14ac:dyDescent="0.2">
      <c r="A285" s="165">
        <f t="shared" si="262"/>
        <v>281</v>
      </c>
      <c r="B285" s="172"/>
      <c r="C285" s="169">
        <f>IF(D284="","",IF(D284+1&gt;'Date Info'!$D$21,"",D284+1))</f>
        <v>54210</v>
      </c>
      <c r="D285" s="172">
        <f>IFERROR(IF(C285="","",IF(EOMONTH(C285,0)&gt;'Date Info'!$D$21,'Date Info'!$D$21,EOMONTH(C285,0))),"")</f>
        <v>54239</v>
      </c>
      <c r="E285" s="173">
        <f>IF($D285="","",IFERROR(SUMIFS(Expenses!$E:$E,Expenses!$B:$B,"&gt;="&amp;$C285,Expenses!$B:$B,"&lt;="&amp;$D285),"na"))</f>
        <v>0</v>
      </c>
      <c r="F285" s="173">
        <f>IF($D285="","",IFERROR(SUMIFS(Income!$D:$D,Income!$B:$B,"&gt;="&amp;$C285,Income!$B:$B,"&lt;="&amp;$D285),"na"))</f>
        <v>0</v>
      </c>
      <c r="G285" s="173">
        <f t="shared" si="258"/>
        <v>0</v>
      </c>
      <c r="H285" s="174" t="str">
        <f t="shared" si="259"/>
        <v>na</v>
      </c>
      <c r="I285" s="174" t="str">
        <f t="shared" si="260"/>
        <v>na</v>
      </c>
      <c r="J285" s="173">
        <f t="shared" ref="J285:L285" si="287">IF(E285="","",J$5)</f>
        <v>38</v>
      </c>
      <c r="K285" s="173">
        <f t="shared" si="287"/>
        <v>300</v>
      </c>
      <c r="L285" s="173">
        <f t="shared" si="287"/>
        <v>262</v>
      </c>
      <c r="M285" s="173">
        <f>IF($D285="","",'Total &amp; Budget Targets'!$G$44)</f>
        <v>0</v>
      </c>
      <c r="N285" s="173">
        <f>IF($D285="","",'Total &amp; Budget Targets'!$G$63)</f>
        <v>0</v>
      </c>
      <c r="O285" s="173">
        <f>IF($D285="","",'Total &amp; Budget Targets'!$G$69)</f>
        <v>0</v>
      </c>
    </row>
    <row r="286" spans="1:15" ht="15.75" customHeight="1" x14ac:dyDescent="0.2">
      <c r="A286" s="165">
        <f t="shared" si="262"/>
        <v>282</v>
      </c>
      <c r="B286" s="172"/>
      <c r="C286" s="169">
        <f>IF(D285="","",IF(D285+1&gt;'Date Info'!$D$21,"",D285+1))</f>
        <v>54240</v>
      </c>
      <c r="D286" s="172">
        <f>IFERROR(IF(C286="","",IF(EOMONTH(C286,0)&gt;'Date Info'!$D$21,'Date Info'!$D$21,EOMONTH(C286,0))),"")</f>
        <v>54270</v>
      </c>
      <c r="E286" s="173">
        <f>IF($D286="","",IFERROR(SUMIFS(Expenses!$E:$E,Expenses!$B:$B,"&gt;="&amp;$C286,Expenses!$B:$B,"&lt;="&amp;$D286),"na"))</f>
        <v>0</v>
      </c>
      <c r="F286" s="173">
        <f>IF($D286="","",IFERROR(SUMIFS(Income!$D:$D,Income!$B:$B,"&gt;="&amp;$C286,Income!$B:$B,"&lt;="&amp;$D286),"na"))</f>
        <v>0</v>
      </c>
      <c r="G286" s="173">
        <f t="shared" si="258"/>
        <v>0</v>
      </c>
      <c r="H286" s="174" t="str">
        <f t="shared" si="259"/>
        <v>na</v>
      </c>
      <c r="I286" s="174" t="str">
        <f t="shared" si="260"/>
        <v>na</v>
      </c>
      <c r="J286" s="173">
        <f t="shared" ref="J286:L286" si="288">IF(E286="","",J$5)</f>
        <v>38</v>
      </c>
      <c r="K286" s="173">
        <f t="shared" si="288"/>
        <v>300</v>
      </c>
      <c r="L286" s="173">
        <f t="shared" si="288"/>
        <v>262</v>
      </c>
      <c r="M286" s="173">
        <f>IF($D286="","",'Total &amp; Budget Targets'!$G$44)</f>
        <v>0</v>
      </c>
      <c r="N286" s="173">
        <f>IF($D286="","",'Total &amp; Budget Targets'!$G$63)</f>
        <v>0</v>
      </c>
      <c r="O286" s="173">
        <f>IF($D286="","",'Total &amp; Budget Targets'!$G$69)</f>
        <v>0</v>
      </c>
    </row>
    <row r="287" spans="1:15" ht="15.75" customHeight="1" x14ac:dyDescent="0.2">
      <c r="A287" s="165">
        <f t="shared" si="262"/>
        <v>283</v>
      </c>
      <c r="B287" s="172"/>
      <c r="C287" s="169">
        <f>IF(D286="","",IF(D286+1&gt;'Date Info'!$D$21,"",D286+1))</f>
        <v>54271</v>
      </c>
      <c r="D287" s="172">
        <f>IFERROR(IF(C287="","",IF(EOMONTH(C287,0)&gt;'Date Info'!$D$21,'Date Info'!$D$21,EOMONTH(C287,0))),"")</f>
        <v>54301</v>
      </c>
      <c r="E287" s="173">
        <f>IF($D287="","",IFERROR(SUMIFS(Expenses!$E:$E,Expenses!$B:$B,"&gt;="&amp;$C287,Expenses!$B:$B,"&lt;="&amp;$D287),"na"))</f>
        <v>0</v>
      </c>
      <c r="F287" s="173">
        <f>IF($D287="","",IFERROR(SUMIFS(Income!$D:$D,Income!$B:$B,"&gt;="&amp;$C287,Income!$B:$B,"&lt;="&amp;$D287),"na"))</f>
        <v>0</v>
      </c>
      <c r="G287" s="173">
        <f t="shared" si="258"/>
        <v>0</v>
      </c>
      <c r="H287" s="174" t="str">
        <f t="shared" si="259"/>
        <v>na</v>
      </c>
      <c r="I287" s="174" t="str">
        <f t="shared" si="260"/>
        <v>na</v>
      </c>
      <c r="J287" s="173">
        <f t="shared" ref="J287:L287" si="289">IF(E287="","",J$5)</f>
        <v>38</v>
      </c>
      <c r="K287" s="173">
        <f t="shared" si="289"/>
        <v>300</v>
      </c>
      <c r="L287" s="173">
        <f t="shared" si="289"/>
        <v>262</v>
      </c>
      <c r="M287" s="173">
        <f>IF($D287="","",'Total &amp; Budget Targets'!$G$44)</f>
        <v>0</v>
      </c>
      <c r="N287" s="173">
        <f>IF($D287="","",'Total &amp; Budget Targets'!$G$63)</f>
        <v>0</v>
      </c>
      <c r="O287" s="173">
        <f>IF($D287="","",'Total &amp; Budget Targets'!$G$69)</f>
        <v>0</v>
      </c>
    </row>
    <row r="288" spans="1:15" ht="15.75" customHeight="1" x14ac:dyDescent="0.2">
      <c r="A288" s="165">
        <f t="shared" si="262"/>
        <v>284</v>
      </c>
      <c r="B288" s="172"/>
      <c r="C288" s="169">
        <f>IF(D287="","",IF(D287+1&gt;'Date Info'!$D$21,"",D287+1))</f>
        <v>54302</v>
      </c>
      <c r="D288" s="172">
        <f>IFERROR(IF(C288="","",IF(EOMONTH(C288,0)&gt;'Date Info'!$D$21,'Date Info'!$D$21,EOMONTH(C288,0))),"")</f>
        <v>54331</v>
      </c>
      <c r="E288" s="173">
        <f>IF($D288="","",IFERROR(SUMIFS(Expenses!$E:$E,Expenses!$B:$B,"&gt;="&amp;$C288,Expenses!$B:$B,"&lt;="&amp;$D288),"na"))</f>
        <v>0</v>
      </c>
      <c r="F288" s="173">
        <f>IF($D288="","",IFERROR(SUMIFS(Income!$D:$D,Income!$B:$B,"&gt;="&amp;$C288,Income!$B:$B,"&lt;="&amp;$D288),"na"))</f>
        <v>0</v>
      </c>
      <c r="G288" s="173">
        <f t="shared" si="258"/>
        <v>0</v>
      </c>
      <c r="H288" s="174" t="str">
        <f t="shared" si="259"/>
        <v>na</v>
      </c>
      <c r="I288" s="174" t="str">
        <f t="shared" si="260"/>
        <v>na</v>
      </c>
      <c r="J288" s="173">
        <f t="shared" ref="J288:L288" si="290">IF(E288="","",J$5)</f>
        <v>38</v>
      </c>
      <c r="K288" s="173">
        <f t="shared" si="290"/>
        <v>300</v>
      </c>
      <c r="L288" s="173">
        <f t="shared" si="290"/>
        <v>262</v>
      </c>
      <c r="M288" s="173">
        <f>IF($D288="","",'Total &amp; Budget Targets'!$G$44)</f>
        <v>0</v>
      </c>
      <c r="N288" s="173">
        <f>IF($D288="","",'Total &amp; Budget Targets'!$G$63)</f>
        <v>0</v>
      </c>
      <c r="O288" s="173">
        <f>IF($D288="","",'Total &amp; Budget Targets'!$G$69)</f>
        <v>0</v>
      </c>
    </row>
    <row r="289" spans="1:15" ht="15.75" customHeight="1" x14ac:dyDescent="0.2">
      <c r="A289" s="165">
        <f t="shared" si="262"/>
        <v>285</v>
      </c>
      <c r="B289" s="172"/>
      <c r="C289" s="169">
        <f>IF(D288="","",IF(D288+1&gt;'Date Info'!$D$21,"",D288+1))</f>
        <v>54332</v>
      </c>
      <c r="D289" s="172">
        <f>IFERROR(IF(C289="","",IF(EOMONTH(C289,0)&gt;'Date Info'!$D$21,'Date Info'!$D$21,EOMONTH(C289,0))),"")</f>
        <v>54362</v>
      </c>
      <c r="E289" s="173">
        <f>IF($D289="","",IFERROR(SUMIFS(Expenses!$E:$E,Expenses!$B:$B,"&gt;="&amp;$C289,Expenses!$B:$B,"&lt;="&amp;$D289),"na"))</f>
        <v>0</v>
      </c>
      <c r="F289" s="173">
        <f>IF($D289="","",IFERROR(SUMIFS(Income!$D:$D,Income!$B:$B,"&gt;="&amp;$C289,Income!$B:$B,"&lt;="&amp;$D289),"na"))</f>
        <v>0</v>
      </c>
      <c r="G289" s="173">
        <f t="shared" si="258"/>
        <v>0</v>
      </c>
      <c r="H289" s="174" t="str">
        <f t="shared" si="259"/>
        <v>na</v>
      </c>
      <c r="I289" s="174" t="str">
        <f t="shared" si="260"/>
        <v>na</v>
      </c>
      <c r="J289" s="173">
        <f t="shared" ref="J289:L289" si="291">IF(E289="","",J$5)</f>
        <v>38</v>
      </c>
      <c r="K289" s="173">
        <f t="shared" si="291"/>
        <v>300</v>
      </c>
      <c r="L289" s="173">
        <f t="shared" si="291"/>
        <v>262</v>
      </c>
      <c r="M289" s="173">
        <f>IF($D289="","",'Total &amp; Budget Targets'!$G$44)</f>
        <v>0</v>
      </c>
      <c r="N289" s="173">
        <f>IF($D289="","",'Total &amp; Budget Targets'!$G$63)</f>
        <v>0</v>
      </c>
      <c r="O289" s="173">
        <f>IF($D289="","",'Total &amp; Budget Targets'!$G$69)</f>
        <v>0</v>
      </c>
    </row>
    <row r="290" spans="1:15" ht="15.75" customHeight="1" x14ac:dyDescent="0.2">
      <c r="A290" s="165">
        <f t="shared" si="262"/>
        <v>286</v>
      </c>
      <c r="B290" s="172"/>
      <c r="C290" s="169">
        <f>IF(D289="","",IF(D289+1&gt;'Date Info'!$D$21,"",D289+1))</f>
        <v>54363</v>
      </c>
      <c r="D290" s="172">
        <f>IFERROR(IF(C290="","",IF(EOMONTH(C290,0)&gt;'Date Info'!$D$21,'Date Info'!$D$21,EOMONTH(C290,0))),"")</f>
        <v>54392</v>
      </c>
      <c r="E290" s="173">
        <f>IF($D290="","",IFERROR(SUMIFS(Expenses!$E:$E,Expenses!$B:$B,"&gt;="&amp;$C290,Expenses!$B:$B,"&lt;="&amp;$D290),"na"))</f>
        <v>0</v>
      </c>
      <c r="F290" s="173">
        <f>IF($D290="","",IFERROR(SUMIFS(Income!$D:$D,Income!$B:$B,"&gt;="&amp;$C290,Income!$B:$B,"&lt;="&amp;$D290),"na"))</f>
        <v>0</v>
      </c>
      <c r="G290" s="173">
        <f t="shared" si="258"/>
        <v>0</v>
      </c>
      <c r="H290" s="174" t="str">
        <f t="shared" si="259"/>
        <v>na</v>
      </c>
      <c r="I290" s="174" t="str">
        <f t="shared" si="260"/>
        <v>na</v>
      </c>
      <c r="J290" s="173">
        <f t="shared" ref="J290:L290" si="292">IF(E290="","",J$5)</f>
        <v>38</v>
      </c>
      <c r="K290" s="173">
        <f t="shared" si="292"/>
        <v>300</v>
      </c>
      <c r="L290" s="173">
        <f t="shared" si="292"/>
        <v>262</v>
      </c>
      <c r="M290" s="173">
        <f>IF($D290="","",'Total &amp; Budget Targets'!$G$44)</f>
        <v>0</v>
      </c>
      <c r="N290" s="173">
        <f>IF($D290="","",'Total &amp; Budget Targets'!$G$63)</f>
        <v>0</v>
      </c>
      <c r="O290" s="173">
        <f>IF($D290="","",'Total &amp; Budget Targets'!$G$69)</f>
        <v>0</v>
      </c>
    </row>
    <row r="291" spans="1:15" ht="15.75" customHeight="1" x14ac:dyDescent="0.2">
      <c r="A291" s="165">
        <f t="shared" si="262"/>
        <v>287</v>
      </c>
      <c r="B291" s="172"/>
      <c r="C291" s="169">
        <f>IF(D290="","",IF(D290+1&gt;'Date Info'!$D$21,"",D290+1))</f>
        <v>54393</v>
      </c>
      <c r="D291" s="172">
        <f>IFERROR(IF(C291="","",IF(EOMONTH(C291,0)&gt;'Date Info'!$D$21,'Date Info'!$D$21,EOMONTH(C291,0))),"")</f>
        <v>54423</v>
      </c>
      <c r="E291" s="173">
        <f>IF($D291="","",IFERROR(SUMIFS(Expenses!$E:$E,Expenses!$B:$B,"&gt;="&amp;$C291,Expenses!$B:$B,"&lt;="&amp;$D291),"na"))</f>
        <v>0</v>
      </c>
      <c r="F291" s="173">
        <f>IF($D291="","",IFERROR(SUMIFS(Income!$D:$D,Income!$B:$B,"&gt;="&amp;$C291,Income!$B:$B,"&lt;="&amp;$D291),"na"))</f>
        <v>0</v>
      </c>
      <c r="G291" s="173">
        <f t="shared" si="258"/>
        <v>0</v>
      </c>
      <c r="H291" s="174" t="str">
        <f t="shared" si="259"/>
        <v>na</v>
      </c>
      <c r="I291" s="174" t="str">
        <f t="shared" si="260"/>
        <v>na</v>
      </c>
      <c r="J291" s="173">
        <f t="shared" ref="J291:L291" si="293">IF(E291="","",J$5)</f>
        <v>38</v>
      </c>
      <c r="K291" s="173">
        <f t="shared" si="293"/>
        <v>300</v>
      </c>
      <c r="L291" s="173">
        <f t="shared" si="293"/>
        <v>262</v>
      </c>
      <c r="M291" s="173">
        <f>IF($D291="","",'Total &amp; Budget Targets'!$G$44)</f>
        <v>0</v>
      </c>
      <c r="N291" s="173">
        <f>IF($D291="","",'Total &amp; Budget Targets'!$G$63)</f>
        <v>0</v>
      </c>
      <c r="O291" s="173">
        <f>IF($D291="","",'Total &amp; Budget Targets'!$G$69)</f>
        <v>0</v>
      </c>
    </row>
    <row r="292" spans="1:15" ht="15.75" customHeight="1" x14ac:dyDescent="0.2">
      <c r="A292" s="165">
        <f t="shared" si="262"/>
        <v>288</v>
      </c>
      <c r="B292" s="172"/>
      <c r="C292" s="169">
        <f>IF(D291="","",IF(D291+1&gt;'Date Info'!$D$21,"",D291+1))</f>
        <v>54424</v>
      </c>
      <c r="D292" s="172">
        <f>IFERROR(IF(C292="","",IF(EOMONTH(C292,0)&gt;'Date Info'!$D$21,'Date Info'!$D$21,EOMONTH(C292,0))),"")</f>
        <v>54454</v>
      </c>
      <c r="E292" s="173">
        <f>IF($D292="","",IFERROR(SUMIFS(Expenses!$E:$E,Expenses!$B:$B,"&gt;="&amp;$C292,Expenses!$B:$B,"&lt;="&amp;$D292),"na"))</f>
        <v>0</v>
      </c>
      <c r="F292" s="173">
        <f>IF($D292="","",IFERROR(SUMIFS(Income!$D:$D,Income!$B:$B,"&gt;="&amp;$C292,Income!$B:$B,"&lt;="&amp;$D292),"na"))</f>
        <v>0</v>
      </c>
      <c r="G292" s="173">
        <f t="shared" si="258"/>
        <v>0</v>
      </c>
      <c r="H292" s="174" t="str">
        <f t="shared" si="259"/>
        <v>na</v>
      </c>
      <c r="I292" s="174" t="str">
        <f t="shared" si="260"/>
        <v>na</v>
      </c>
      <c r="J292" s="173">
        <f t="shared" ref="J292:L292" si="294">IF(E292="","",J$5)</f>
        <v>38</v>
      </c>
      <c r="K292" s="173">
        <f t="shared" si="294"/>
        <v>300</v>
      </c>
      <c r="L292" s="173">
        <f t="shared" si="294"/>
        <v>262</v>
      </c>
      <c r="M292" s="173">
        <f>IF($D292="","",'Total &amp; Budget Targets'!$G$44)</f>
        <v>0</v>
      </c>
      <c r="N292" s="173">
        <f>IF($D292="","",'Total &amp; Budget Targets'!$G$63)</f>
        <v>0</v>
      </c>
      <c r="O292" s="173">
        <f>IF($D292="","",'Total &amp; Budget Targets'!$G$69)</f>
        <v>0</v>
      </c>
    </row>
    <row r="293" spans="1:15" ht="15.75" customHeight="1" x14ac:dyDescent="0.2">
      <c r="A293" s="165">
        <f t="shared" si="262"/>
        <v>289</v>
      </c>
      <c r="B293" s="172"/>
      <c r="C293" s="169">
        <f>IF(D292="","",IF(D292+1&gt;'Date Info'!$D$21,"",D292+1))</f>
        <v>54455</v>
      </c>
      <c r="D293" s="172">
        <f>IFERROR(IF(C293="","",IF(EOMONTH(C293,0)&gt;'Date Info'!$D$21,'Date Info'!$D$21,EOMONTH(C293,0))),"")</f>
        <v>54482</v>
      </c>
      <c r="E293" s="173">
        <f>IF($D293="","",IFERROR(SUMIFS(Expenses!$E:$E,Expenses!$B:$B,"&gt;="&amp;$C293,Expenses!$B:$B,"&lt;="&amp;$D293),"na"))</f>
        <v>0</v>
      </c>
      <c r="F293" s="173">
        <f>IF($D293="","",IFERROR(SUMIFS(Income!$D:$D,Income!$B:$B,"&gt;="&amp;$C293,Income!$B:$B,"&lt;="&amp;$D293),"na"))</f>
        <v>0</v>
      </c>
      <c r="G293" s="173">
        <f t="shared" si="258"/>
        <v>0</v>
      </c>
      <c r="H293" s="174" t="str">
        <f t="shared" si="259"/>
        <v>na</v>
      </c>
      <c r="I293" s="174" t="str">
        <f t="shared" si="260"/>
        <v>na</v>
      </c>
      <c r="J293" s="173">
        <f t="shared" ref="J293:L293" si="295">IF(E293="","",J$5)</f>
        <v>38</v>
      </c>
      <c r="K293" s="173">
        <f t="shared" si="295"/>
        <v>300</v>
      </c>
      <c r="L293" s="173">
        <f t="shared" si="295"/>
        <v>262</v>
      </c>
      <c r="M293" s="173">
        <f>IF($D293="","",'Total &amp; Budget Targets'!$G$44)</f>
        <v>0</v>
      </c>
      <c r="N293" s="173">
        <f>IF($D293="","",'Total &amp; Budget Targets'!$G$63)</f>
        <v>0</v>
      </c>
      <c r="O293" s="173">
        <f>IF($D293="","",'Total &amp; Budget Targets'!$G$69)</f>
        <v>0</v>
      </c>
    </row>
    <row r="294" spans="1:15" ht="15.75" customHeight="1" x14ac:dyDescent="0.2">
      <c r="A294" s="165">
        <f t="shared" si="262"/>
        <v>290</v>
      </c>
      <c r="B294" s="172"/>
      <c r="C294" s="169">
        <f>IF(D293="","",IF(D293+1&gt;'Date Info'!$D$21,"",D293+1))</f>
        <v>54483</v>
      </c>
      <c r="D294" s="172">
        <f>IFERROR(IF(C294="","",IF(EOMONTH(C294,0)&gt;'Date Info'!$D$21,'Date Info'!$D$21,EOMONTH(C294,0))),"")</f>
        <v>54513</v>
      </c>
      <c r="E294" s="173">
        <f>IF($D294="","",IFERROR(SUMIFS(Expenses!$E:$E,Expenses!$B:$B,"&gt;="&amp;$C294,Expenses!$B:$B,"&lt;="&amp;$D294),"na"))</f>
        <v>0</v>
      </c>
      <c r="F294" s="173">
        <f>IF($D294="","",IFERROR(SUMIFS(Income!$D:$D,Income!$B:$B,"&gt;="&amp;$C294,Income!$B:$B,"&lt;="&amp;$D294),"na"))</f>
        <v>0</v>
      </c>
      <c r="G294" s="173">
        <f t="shared" si="258"/>
        <v>0</v>
      </c>
      <c r="H294" s="174" t="str">
        <f t="shared" si="259"/>
        <v>na</v>
      </c>
      <c r="I294" s="174" t="str">
        <f t="shared" si="260"/>
        <v>na</v>
      </c>
      <c r="J294" s="173">
        <f t="shared" ref="J294:L294" si="296">IF(E294="","",J$5)</f>
        <v>38</v>
      </c>
      <c r="K294" s="173">
        <f t="shared" si="296"/>
        <v>300</v>
      </c>
      <c r="L294" s="173">
        <f t="shared" si="296"/>
        <v>262</v>
      </c>
      <c r="M294" s="173">
        <f>IF($D294="","",'Total &amp; Budget Targets'!$G$44)</f>
        <v>0</v>
      </c>
      <c r="N294" s="173">
        <f>IF($D294="","",'Total &amp; Budget Targets'!$G$63)</f>
        <v>0</v>
      </c>
      <c r="O294" s="173">
        <f>IF($D294="","",'Total &amp; Budget Targets'!$G$69)</f>
        <v>0</v>
      </c>
    </row>
    <row r="295" spans="1:15" ht="15.75" customHeight="1" x14ac:dyDescent="0.2">
      <c r="A295" s="165">
        <f t="shared" si="262"/>
        <v>291</v>
      </c>
      <c r="B295" s="172"/>
      <c r="C295" s="169">
        <f>IF(D294="","",IF(D294+1&gt;'Date Info'!$D$21,"",D294+1))</f>
        <v>54514</v>
      </c>
      <c r="D295" s="172">
        <f>IFERROR(IF(C295="","",IF(EOMONTH(C295,0)&gt;'Date Info'!$D$21,'Date Info'!$D$21,EOMONTH(C295,0))),"")</f>
        <v>54543</v>
      </c>
      <c r="E295" s="173">
        <f>IF($D295="","",IFERROR(SUMIFS(Expenses!$E:$E,Expenses!$B:$B,"&gt;="&amp;$C295,Expenses!$B:$B,"&lt;="&amp;$D295),"na"))</f>
        <v>0</v>
      </c>
      <c r="F295" s="173">
        <f>IF($D295="","",IFERROR(SUMIFS(Income!$D:$D,Income!$B:$B,"&gt;="&amp;$C295,Income!$B:$B,"&lt;="&amp;$D295),"na"))</f>
        <v>0</v>
      </c>
      <c r="G295" s="173">
        <f t="shared" si="258"/>
        <v>0</v>
      </c>
      <c r="H295" s="174" t="str">
        <f t="shared" si="259"/>
        <v>na</v>
      </c>
      <c r="I295" s="174" t="str">
        <f t="shared" si="260"/>
        <v>na</v>
      </c>
      <c r="J295" s="173">
        <f t="shared" ref="J295:L295" si="297">IF(E295="","",J$5)</f>
        <v>38</v>
      </c>
      <c r="K295" s="173">
        <f t="shared" si="297"/>
        <v>300</v>
      </c>
      <c r="L295" s="173">
        <f t="shared" si="297"/>
        <v>262</v>
      </c>
      <c r="M295" s="173">
        <f>IF($D295="","",'Total &amp; Budget Targets'!$G$44)</f>
        <v>0</v>
      </c>
      <c r="N295" s="173">
        <f>IF($D295="","",'Total &amp; Budget Targets'!$G$63)</f>
        <v>0</v>
      </c>
      <c r="O295" s="173">
        <f>IF($D295="","",'Total &amp; Budget Targets'!$G$69)</f>
        <v>0</v>
      </c>
    </row>
    <row r="296" spans="1:15" ht="15.75" customHeight="1" x14ac:dyDescent="0.2">
      <c r="A296" s="165">
        <f t="shared" si="262"/>
        <v>292</v>
      </c>
      <c r="B296" s="172"/>
      <c r="C296" s="169">
        <f>IF(D295="","",IF(D295+1&gt;'Date Info'!$D$21,"",D295+1))</f>
        <v>54544</v>
      </c>
      <c r="D296" s="172">
        <f>IFERROR(IF(C296="","",IF(EOMONTH(C296,0)&gt;'Date Info'!$D$21,'Date Info'!$D$21,EOMONTH(C296,0))),"")</f>
        <v>54574</v>
      </c>
      <c r="E296" s="173">
        <f>IF($D296="","",IFERROR(SUMIFS(Expenses!$E:$E,Expenses!$B:$B,"&gt;="&amp;$C296,Expenses!$B:$B,"&lt;="&amp;$D296),"na"))</f>
        <v>0</v>
      </c>
      <c r="F296" s="173">
        <f>IF($D296="","",IFERROR(SUMIFS(Income!$D:$D,Income!$B:$B,"&gt;="&amp;$C296,Income!$B:$B,"&lt;="&amp;$D296),"na"))</f>
        <v>0</v>
      </c>
      <c r="G296" s="173">
        <f t="shared" si="258"/>
        <v>0</v>
      </c>
      <c r="H296" s="174" t="str">
        <f t="shared" si="259"/>
        <v>na</v>
      </c>
      <c r="I296" s="174" t="str">
        <f t="shared" si="260"/>
        <v>na</v>
      </c>
      <c r="J296" s="173">
        <f t="shared" ref="J296:L296" si="298">IF(E296="","",J$5)</f>
        <v>38</v>
      </c>
      <c r="K296" s="173">
        <f t="shared" si="298"/>
        <v>300</v>
      </c>
      <c r="L296" s="173">
        <f t="shared" si="298"/>
        <v>262</v>
      </c>
      <c r="M296" s="173">
        <f>IF($D296="","",'Total &amp; Budget Targets'!$G$44)</f>
        <v>0</v>
      </c>
      <c r="N296" s="173">
        <f>IF($D296="","",'Total &amp; Budget Targets'!$G$63)</f>
        <v>0</v>
      </c>
      <c r="O296" s="173">
        <f>IF($D296="","",'Total &amp; Budget Targets'!$G$69)</f>
        <v>0</v>
      </c>
    </row>
    <row r="297" spans="1:15" ht="15.75" customHeight="1" x14ac:dyDescent="0.2">
      <c r="A297" s="165">
        <f t="shared" si="262"/>
        <v>293</v>
      </c>
      <c r="B297" s="172"/>
      <c r="C297" s="169">
        <f>IF(D296="","",IF(D296+1&gt;'Date Info'!$D$21,"",D296+1))</f>
        <v>54575</v>
      </c>
      <c r="D297" s="172">
        <f>IFERROR(IF(C297="","",IF(EOMONTH(C297,0)&gt;'Date Info'!$D$21,'Date Info'!$D$21,EOMONTH(C297,0))),"")</f>
        <v>54604</v>
      </c>
      <c r="E297" s="173">
        <f>IF($D297="","",IFERROR(SUMIFS(Expenses!$E:$E,Expenses!$B:$B,"&gt;="&amp;$C297,Expenses!$B:$B,"&lt;="&amp;$D297),"na"))</f>
        <v>0</v>
      </c>
      <c r="F297" s="173">
        <f>IF($D297="","",IFERROR(SUMIFS(Income!$D:$D,Income!$B:$B,"&gt;="&amp;$C297,Income!$B:$B,"&lt;="&amp;$D297),"na"))</f>
        <v>0</v>
      </c>
      <c r="G297" s="173">
        <f t="shared" si="258"/>
        <v>0</v>
      </c>
      <c r="H297" s="174" t="str">
        <f t="shared" si="259"/>
        <v>na</v>
      </c>
      <c r="I297" s="174" t="str">
        <f t="shared" si="260"/>
        <v>na</v>
      </c>
      <c r="J297" s="173">
        <f t="shared" ref="J297:L297" si="299">IF(E297="","",J$5)</f>
        <v>38</v>
      </c>
      <c r="K297" s="173">
        <f t="shared" si="299"/>
        <v>300</v>
      </c>
      <c r="L297" s="173">
        <f t="shared" si="299"/>
        <v>262</v>
      </c>
      <c r="M297" s="173">
        <f>IF($D297="","",'Total &amp; Budget Targets'!$G$44)</f>
        <v>0</v>
      </c>
      <c r="N297" s="173">
        <f>IF($D297="","",'Total &amp; Budget Targets'!$G$63)</f>
        <v>0</v>
      </c>
      <c r="O297" s="173">
        <f>IF($D297="","",'Total &amp; Budget Targets'!$G$69)</f>
        <v>0</v>
      </c>
    </row>
    <row r="298" spans="1:15" ht="15.75" customHeight="1" x14ac:dyDescent="0.2">
      <c r="A298" s="165">
        <f t="shared" si="262"/>
        <v>294</v>
      </c>
      <c r="B298" s="172"/>
      <c r="C298" s="169">
        <f>IF(D297="","",IF(D297+1&gt;'Date Info'!$D$21,"",D297+1))</f>
        <v>54605</v>
      </c>
      <c r="D298" s="172">
        <f>IFERROR(IF(C298="","",IF(EOMONTH(C298,0)&gt;'Date Info'!$D$21,'Date Info'!$D$21,EOMONTH(C298,0))),"")</f>
        <v>54635</v>
      </c>
      <c r="E298" s="173">
        <f>IF($D298="","",IFERROR(SUMIFS(Expenses!$E:$E,Expenses!$B:$B,"&gt;="&amp;$C298,Expenses!$B:$B,"&lt;="&amp;$D298),"na"))</f>
        <v>0</v>
      </c>
      <c r="F298" s="173">
        <f>IF($D298="","",IFERROR(SUMIFS(Income!$D:$D,Income!$B:$B,"&gt;="&amp;$C298,Income!$B:$B,"&lt;="&amp;$D298),"na"))</f>
        <v>0</v>
      </c>
      <c r="G298" s="173">
        <f t="shared" si="258"/>
        <v>0</v>
      </c>
      <c r="H298" s="174" t="str">
        <f t="shared" si="259"/>
        <v>na</v>
      </c>
      <c r="I298" s="174" t="str">
        <f t="shared" si="260"/>
        <v>na</v>
      </c>
      <c r="J298" s="173">
        <f t="shared" ref="J298:L298" si="300">IF(E298="","",J$5)</f>
        <v>38</v>
      </c>
      <c r="K298" s="173">
        <f t="shared" si="300"/>
        <v>300</v>
      </c>
      <c r="L298" s="173">
        <f t="shared" si="300"/>
        <v>262</v>
      </c>
      <c r="M298" s="173">
        <f>IF($D298="","",'Total &amp; Budget Targets'!$G$44)</f>
        <v>0</v>
      </c>
      <c r="N298" s="173">
        <f>IF($D298="","",'Total &amp; Budget Targets'!$G$63)</f>
        <v>0</v>
      </c>
      <c r="O298" s="173">
        <f>IF($D298="","",'Total &amp; Budget Targets'!$G$69)</f>
        <v>0</v>
      </c>
    </row>
    <row r="299" spans="1:15" ht="15.75" customHeight="1" x14ac:dyDescent="0.2">
      <c r="A299" s="165">
        <f t="shared" si="262"/>
        <v>295</v>
      </c>
      <c r="B299" s="172"/>
      <c r="C299" s="169">
        <f>IF(D298="","",IF(D298+1&gt;'Date Info'!$D$21,"",D298+1))</f>
        <v>54636</v>
      </c>
      <c r="D299" s="172">
        <f>IFERROR(IF(C299="","",IF(EOMONTH(C299,0)&gt;'Date Info'!$D$21,'Date Info'!$D$21,EOMONTH(C299,0))),"")</f>
        <v>54666</v>
      </c>
      <c r="E299" s="173">
        <f>IF($D299="","",IFERROR(SUMIFS(Expenses!$E:$E,Expenses!$B:$B,"&gt;="&amp;$C299,Expenses!$B:$B,"&lt;="&amp;$D299),"na"))</f>
        <v>0</v>
      </c>
      <c r="F299" s="173">
        <f>IF($D299="","",IFERROR(SUMIFS(Income!$D:$D,Income!$B:$B,"&gt;="&amp;$C299,Income!$B:$B,"&lt;="&amp;$D299),"na"))</f>
        <v>0</v>
      </c>
      <c r="G299" s="173">
        <f t="shared" si="258"/>
        <v>0</v>
      </c>
      <c r="H299" s="174" t="str">
        <f t="shared" si="259"/>
        <v>na</v>
      </c>
      <c r="I299" s="174" t="str">
        <f t="shared" si="260"/>
        <v>na</v>
      </c>
      <c r="J299" s="173">
        <f t="shared" ref="J299:L299" si="301">IF(E299="","",J$5)</f>
        <v>38</v>
      </c>
      <c r="K299" s="173">
        <f t="shared" si="301"/>
        <v>300</v>
      </c>
      <c r="L299" s="173">
        <f t="shared" si="301"/>
        <v>262</v>
      </c>
      <c r="M299" s="173">
        <f>IF($D299="","",'Total &amp; Budget Targets'!$G$44)</f>
        <v>0</v>
      </c>
      <c r="N299" s="173">
        <f>IF($D299="","",'Total &amp; Budget Targets'!$G$63)</f>
        <v>0</v>
      </c>
      <c r="O299" s="173">
        <f>IF($D299="","",'Total &amp; Budget Targets'!$G$69)</f>
        <v>0</v>
      </c>
    </row>
    <row r="300" spans="1:15" ht="15.75" customHeight="1" x14ac:dyDescent="0.2">
      <c r="A300" s="165">
        <f t="shared" si="262"/>
        <v>296</v>
      </c>
      <c r="B300" s="172"/>
      <c r="C300" s="169">
        <f>IF(D299="","",IF(D299+1&gt;'Date Info'!$D$21,"",D299+1))</f>
        <v>54667</v>
      </c>
      <c r="D300" s="172">
        <f>IFERROR(IF(C300="","",IF(EOMONTH(C300,0)&gt;'Date Info'!$D$21,'Date Info'!$D$21,EOMONTH(C300,0))),"")</f>
        <v>54696</v>
      </c>
      <c r="E300" s="173">
        <f>IF($D300="","",IFERROR(SUMIFS(Expenses!$E:$E,Expenses!$B:$B,"&gt;="&amp;$C300,Expenses!$B:$B,"&lt;="&amp;$D300),"na"))</f>
        <v>0</v>
      </c>
      <c r="F300" s="173">
        <f>IF($D300="","",IFERROR(SUMIFS(Income!$D:$D,Income!$B:$B,"&gt;="&amp;$C300,Income!$B:$B,"&lt;="&amp;$D300),"na"))</f>
        <v>0</v>
      </c>
      <c r="G300" s="173">
        <f t="shared" si="258"/>
        <v>0</v>
      </c>
      <c r="H300" s="174" t="str">
        <f t="shared" si="259"/>
        <v>na</v>
      </c>
      <c r="I300" s="174" t="str">
        <f t="shared" si="260"/>
        <v>na</v>
      </c>
      <c r="J300" s="173">
        <f t="shared" ref="J300:L300" si="302">IF(E300="","",J$5)</f>
        <v>38</v>
      </c>
      <c r="K300" s="173">
        <f t="shared" si="302"/>
        <v>300</v>
      </c>
      <c r="L300" s="173">
        <f t="shared" si="302"/>
        <v>262</v>
      </c>
      <c r="M300" s="173">
        <f>IF($D300="","",'Total &amp; Budget Targets'!$G$44)</f>
        <v>0</v>
      </c>
      <c r="N300" s="173">
        <f>IF($D300="","",'Total &amp; Budget Targets'!$G$63)</f>
        <v>0</v>
      </c>
      <c r="O300" s="173">
        <f>IF($D300="","",'Total &amp; Budget Targets'!$G$69)</f>
        <v>0</v>
      </c>
    </row>
    <row r="301" spans="1:15" ht="15.75" customHeight="1" x14ac:dyDescent="0.2">
      <c r="A301" s="165">
        <f t="shared" si="262"/>
        <v>297</v>
      </c>
      <c r="B301" s="172"/>
      <c r="C301" s="169">
        <f>IF(D300="","",IF(D300+1&gt;'Date Info'!$D$21,"",D300+1))</f>
        <v>54697</v>
      </c>
      <c r="D301" s="172">
        <f>IFERROR(IF(C301="","",IF(EOMONTH(C301,0)&gt;'Date Info'!$D$21,'Date Info'!$D$21,EOMONTH(C301,0))),"")</f>
        <v>54727</v>
      </c>
      <c r="E301" s="173">
        <f>IF($D301="","",IFERROR(SUMIFS(Expenses!$E:$E,Expenses!$B:$B,"&gt;="&amp;$C301,Expenses!$B:$B,"&lt;="&amp;$D301),"na"))</f>
        <v>0</v>
      </c>
      <c r="F301" s="173">
        <f>IF($D301="","",IFERROR(SUMIFS(Income!$D:$D,Income!$B:$B,"&gt;="&amp;$C301,Income!$B:$B,"&lt;="&amp;$D301),"na"))</f>
        <v>0</v>
      </c>
      <c r="G301" s="173">
        <f t="shared" si="258"/>
        <v>0</v>
      </c>
      <c r="H301" s="174" t="str">
        <f t="shared" si="259"/>
        <v>na</v>
      </c>
      <c r="I301" s="174" t="str">
        <f t="shared" si="260"/>
        <v>na</v>
      </c>
      <c r="J301" s="173">
        <f t="shared" ref="J301:L301" si="303">IF(E301="","",J$5)</f>
        <v>38</v>
      </c>
      <c r="K301" s="173">
        <f t="shared" si="303"/>
        <v>300</v>
      </c>
      <c r="L301" s="173">
        <f t="shared" si="303"/>
        <v>262</v>
      </c>
      <c r="M301" s="173">
        <f>IF($D301="","",'Total &amp; Budget Targets'!$G$44)</f>
        <v>0</v>
      </c>
      <c r="N301" s="173">
        <f>IF($D301="","",'Total &amp; Budget Targets'!$G$63)</f>
        <v>0</v>
      </c>
      <c r="O301" s="173">
        <f>IF($D301="","",'Total &amp; Budget Targets'!$G$69)</f>
        <v>0</v>
      </c>
    </row>
    <row r="302" spans="1:15" ht="15.75" customHeight="1" x14ac:dyDescent="0.2">
      <c r="A302" s="165">
        <f t="shared" si="262"/>
        <v>298</v>
      </c>
      <c r="B302" s="172"/>
      <c r="C302" s="169">
        <f>IF(D301="","",IF(D301+1&gt;'Date Info'!$D$21,"",D301+1))</f>
        <v>54728</v>
      </c>
      <c r="D302" s="172">
        <f>IFERROR(IF(C302="","",IF(EOMONTH(C302,0)&gt;'Date Info'!$D$21,'Date Info'!$D$21,EOMONTH(C302,0))),"")</f>
        <v>54757</v>
      </c>
      <c r="E302" s="173">
        <f>IF($D302="","",IFERROR(SUMIFS(Expenses!$E:$E,Expenses!$B:$B,"&gt;="&amp;$C302,Expenses!$B:$B,"&lt;="&amp;$D302),"na"))</f>
        <v>0</v>
      </c>
      <c r="F302" s="173">
        <f>IF($D302="","",IFERROR(SUMIFS(Income!$D:$D,Income!$B:$B,"&gt;="&amp;$C302,Income!$B:$B,"&lt;="&amp;$D302),"na"))</f>
        <v>0</v>
      </c>
      <c r="G302" s="173">
        <f t="shared" si="258"/>
        <v>0</v>
      </c>
      <c r="H302" s="174" t="str">
        <f t="shared" si="259"/>
        <v>na</v>
      </c>
      <c r="I302" s="174" t="str">
        <f t="shared" si="260"/>
        <v>na</v>
      </c>
      <c r="J302" s="173">
        <f t="shared" ref="J302:L302" si="304">IF(E302="","",J$5)</f>
        <v>38</v>
      </c>
      <c r="K302" s="173">
        <f t="shared" si="304"/>
        <v>300</v>
      </c>
      <c r="L302" s="173">
        <f t="shared" si="304"/>
        <v>262</v>
      </c>
      <c r="M302" s="173">
        <f>IF($D302="","",'Total &amp; Budget Targets'!$G$44)</f>
        <v>0</v>
      </c>
      <c r="N302" s="173">
        <f>IF($D302="","",'Total &amp; Budget Targets'!$G$63)</f>
        <v>0</v>
      </c>
      <c r="O302" s="173">
        <f>IF($D302="","",'Total &amp; Budget Targets'!$G$69)</f>
        <v>0</v>
      </c>
    </row>
    <row r="303" spans="1:15" ht="15.75" customHeight="1" x14ac:dyDescent="0.2">
      <c r="A303" s="165">
        <f t="shared" si="262"/>
        <v>299</v>
      </c>
      <c r="B303" s="172"/>
      <c r="C303" s="169">
        <f>IF(D302="","",IF(D302+1&gt;'Date Info'!$D$21,"",D302+1))</f>
        <v>54758</v>
      </c>
      <c r="D303" s="172">
        <f>IFERROR(IF(C303="","",IF(EOMONTH(C303,0)&gt;'Date Info'!$D$21,'Date Info'!$D$21,EOMONTH(C303,0))),"")</f>
        <v>54788</v>
      </c>
      <c r="E303" s="173">
        <f>IF($D303="","",IFERROR(SUMIFS(Expenses!$E:$E,Expenses!$B:$B,"&gt;="&amp;$C303,Expenses!$B:$B,"&lt;="&amp;$D303),"na"))</f>
        <v>0</v>
      </c>
      <c r="F303" s="173">
        <f>IF($D303="","",IFERROR(SUMIFS(Income!$D:$D,Income!$B:$B,"&gt;="&amp;$C303,Income!$B:$B,"&lt;="&amp;$D303),"na"))</f>
        <v>0</v>
      </c>
      <c r="G303" s="173">
        <f t="shared" si="258"/>
        <v>0</v>
      </c>
      <c r="H303" s="174" t="str">
        <f t="shared" si="259"/>
        <v>na</v>
      </c>
      <c r="I303" s="174" t="str">
        <f t="shared" si="260"/>
        <v>na</v>
      </c>
      <c r="J303" s="173">
        <f t="shared" ref="J303:L303" si="305">IF(E303="","",J$5)</f>
        <v>38</v>
      </c>
      <c r="K303" s="173">
        <f t="shared" si="305"/>
        <v>300</v>
      </c>
      <c r="L303" s="173">
        <f t="shared" si="305"/>
        <v>262</v>
      </c>
      <c r="M303" s="173">
        <f>IF($D303="","",'Total &amp; Budget Targets'!$G$44)</f>
        <v>0</v>
      </c>
      <c r="N303" s="173">
        <f>IF($D303="","",'Total &amp; Budget Targets'!$G$63)</f>
        <v>0</v>
      </c>
      <c r="O303" s="173">
        <f>IF($D303="","",'Total &amp; Budget Targets'!$G$69)</f>
        <v>0</v>
      </c>
    </row>
    <row r="304" spans="1:15" ht="15.75" customHeight="1" x14ac:dyDescent="0.2">
      <c r="A304" s="165">
        <f t="shared" si="262"/>
        <v>300</v>
      </c>
      <c r="B304" s="172"/>
      <c r="C304" s="169">
        <f>IF(D303="","",IF(D303+1&gt;'Date Info'!$D$21,"",D303+1))</f>
        <v>54789</v>
      </c>
      <c r="D304" s="172">
        <f>IFERROR(IF(C304="","",IF(EOMONTH(C304,0)&gt;'Date Info'!$D$21,'Date Info'!$D$21,EOMONTH(C304,0))),"")</f>
        <v>54819</v>
      </c>
      <c r="E304" s="173">
        <f>IF($D304="","",IFERROR(SUMIFS(Expenses!$E:$E,Expenses!$B:$B,"&gt;="&amp;$C304,Expenses!$B:$B,"&lt;="&amp;$D304),"na"))</f>
        <v>0</v>
      </c>
      <c r="F304" s="173">
        <f>IF($D304="","",IFERROR(SUMIFS(Income!$D:$D,Income!$B:$B,"&gt;="&amp;$C304,Income!$B:$B,"&lt;="&amp;$D304),"na"))</f>
        <v>0</v>
      </c>
      <c r="G304" s="173">
        <f t="shared" si="258"/>
        <v>0</v>
      </c>
      <c r="H304" s="174" t="str">
        <f t="shared" si="259"/>
        <v>na</v>
      </c>
      <c r="I304" s="174" t="str">
        <f t="shared" si="260"/>
        <v>na</v>
      </c>
      <c r="J304" s="173">
        <f t="shared" ref="J304:L304" si="306">IF(E304="","",J$5)</f>
        <v>38</v>
      </c>
      <c r="K304" s="173">
        <f t="shared" si="306"/>
        <v>300</v>
      </c>
      <c r="L304" s="173">
        <f t="shared" si="306"/>
        <v>262</v>
      </c>
      <c r="M304" s="173">
        <f>IF($D304="","",'Total &amp; Budget Targets'!$G$44)</f>
        <v>0</v>
      </c>
      <c r="N304" s="173">
        <f>IF($D304="","",'Total &amp; Budget Targets'!$G$63)</f>
        <v>0</v>
      </c>
      <c r="O304" s="173">
        <f>IF($D304="","",'Total &amp; Budget Targets'!$G$69)</f>
        <v>0</v>
      </c>
    </row>
    <row r="305" spans="1:15" ht="15.75" customHeight="1" x14ac:dyDescent="0.2">
      <c r="A305" s="165">
        <f t="shared" si="262"/>
        <v>301</v>
      </c>
      <c r="B305" s="172"/>
      <c r="C305" s="169">
        <f>IF(D304="","",IF(D304+1&gt;'Date Info'!$D$21,"",D304+1))</f>
        <v>54820</v>
      </c>
      <c r="D305" s="172">
        <f>IFERROR(IF(C305="","",IF(EOMONTH(C305,0)&gt;'Date Info'!$D$21,'Date Info'!$D$21,EOMONTH(C305,0))),"")</f>
        <v>54847</v>
      </c>
      <c r="E305" s="173">
        <f>IF($D305="","",IFERROR(SUMIFS(Expenses!$E:$E,Expenses!$B:$B,"&gt;="&amp;$C305,Expenses!$B:$B,"&lt;="&amp;$D305),"na"))</f>
        <v>0</v>
      </c>
      <c r="F305" s="173">
        <f>IF($D305="","",IFERROR(SUMIFS(Income!$D:$D,Income!$B:$B,"&gt;="&amp;$C305,Income!$B:$B,"&lt;="&amp;$D305),"na"))</f>
        <v>0</v>
      </c>
      <c r="G305" s="173">
        <f t="shared" si="258"/>
        <v>0</v>
      </c>
      <c r="H305" s="174" t="str">
        <f t="shared" si="259"/>
        <v>na</v>
      </c>
      <c r="I305" s="174" t="str">
        <f t="shared" si="260"/>
        <v>na</v>
      </c>
      <c r="J305" s="173">
        <f t="shared" ref="J305:L305" si="307">IF(E305="","",J$5)</f>
        <v>38</v>
      </c>
      <c r="K305" s="173">
        <f t="shared" si="307"/>
        <v>300</v>
      </c>
      <c r="L305" s="173">
        <f t="shared" si="307"/>
        <v>262</v>
      </c>
      <c r="M305" s="173">
        <f>IF($D305="","",'Total &amp; Budget Targets'!$G$44)</f>
        <v>0</v>
      </c>
      <c r="N305" s="173">
        <f>IF($D305="","",'Total &amp; Budget Targets'!$G$63)</f>
        <v>0</v>
      </c>
      <c r="O305" s="173">
        <f>IF($D305="","",'Total &amp; Budget Targets'!$G$69)</f>
        <v>0</v>
      </c>
    </row>
    <row r="306" spans="1:15" ht="15.75" customHeight="1" x14ac:dyDescent="0.2">
      <c r="A306" s="165">
        <f t="shared" si="262"/>
        <v>302</v>
      </c>
      <c r="B306" s="172"/>
      <c r="C306" s="169">
        <f>IF(D305="","",IF(D305+1&gt;'Date Info'!$D$21,"",D305+1))</f>
        <v>54848</v>
      </c>
      <c r="D306" s="172">
        <f>IFERROR(IF(C306="","",IF(EOMONTH(C306,0)&gt;'Date Info'!$D$21,'Date Info'!$D$21,EOMONTH(C306,0))),"")</f>
        <v>54878</v>
      </c>
      <c r="E306" s="173">
        <f>IF($D306="","",IFERROR(SUMIFS(Expenses!$E:$E,Expenses!$B:$B,"&gt;="&amp;$C306,Expenses!$B:$B,"&lt;="&amp;$D306),"na"))</f>
        <v>0</v>
      </c>
      <c r="F306" s="173">
        <f>IF($D306="","",IFERROR(SUMIFS(Income!$D:$D,Income!$B:$B,"&gt;="&amp;$C306,Income!$B:$B,"&lt;="&amp;$D306),"na"))</f>
        <v>0</v>
      </c>
      <c r="G306" s="173">
        <f t="shared" si="258"/>
        <v>0</v>
      </c>
      <c r="H306" s="174" t="str">
        <f t="shared" si="259"/>
        <v>na</v>
      </c>
      <c r="I306" s="174" t="str">
        <f t="shared" si="260"/>
        <v>na</v>
      </c>
      <c r="J306" s="173">
        <f t="shared" ref="J306:L306" si="308">IF(E306="","",J$5)</f>
        <v>38</v>
      </c>
      <c r="K306" s="173">
        <f t="shared" si="308"/>
        <v>300</v>
      </c>
      <c r="L306" s="173">
        <f t="shared" si="308"/>
        <v>262</v>
      </c>
      <c r="M306" s="173">
        <f>IF($D306="","",'Total &amp; Budget Targets'!$G$44)</f>
        <v>0</v>
      </c>
      <c r="N306" s="173">
        <f>IF($D306="","",'Total &amp; Budget Targets'!$G$63)</f>
        <v>0</v>
      </c>
      <c r="O306" s="173">
        <f>IF($D306="","",'Total &amp; Budget Targets'!$G$69)</f>
        <v>0</v>
      </c>
    </row>
    <row r="307" spans="1:15" ht="15.75" customHeight="1" x14ac:dyDescent="0.2">
      <c r="A307" s="165">
        <f t="shared" si="262"/>
        <v>303</v>
      </c>
      <c r="B307" s="172"/>
      <c r="C307" s="169">
        <f>IF(D306="","",IF(D306+1&gt;'Date Info'!$D$21,"",D306+1))</f>
        <v>54879</v>
      </c>
      <c r="D307" s="172">
        <f>IFERROR(IF(C307="","",IF(EOMONTH(C307,0)&gt;'Date Info'!$D$21,'Date Info'!$D$21,EOMONTH(C307,0))),"")</f>
        <v>54908</v>
      </c>
      <c r="E307" s="173">
        <f>IF($D307="","",IFERROR(SUMIFS(Expenses!$E:$E,Expenses!$B:$B,"&gt;="&amp;$C307,Expenses!$B:$B,"&lt;="&amp;$D307),"na"))</f>
        <v>0</v>
      </c>
      <c r="F307" s="173">
        <f>IF($D307="","",IFERROR(SUMIFS(Income!$D:$D,Income!$B:$B,"&gt;="&amp;$C307,Income!$B:$B,"&lt;="&amp;$D307),"na"))</f>
        <v>0</v>
      </c>
      <c r="G307" s="173">
        <f t="shared" si="258"/>
        <v>0</v>
      </c>
      <c r="H307" s="174" t="str">
        <f t="shared" si="259"/>
        <v>na</v>
      </c>
      <c r="I307" s="174" t="str">
        <f t="shared" si="260"/>
        <v>na</v>
      </c>
      <c r="J307" s="173">
        <f t="shared" ref="J307:L307" si="309">IF(E307="","",J$5)</f>
        <v>38</v>
      </c>
      <c r="K307" s="173">
        <f t="shared" si="309"/>
        <v>300</v>
      </c>
      <c r="L307" s="173">
        <f t="shared" si="309"/>
        <v>262</v>
      </c>
      <c r="M307" s="173">
        <f>IF($D307="","",'Total &amp; Budget Targets'!$G$44)</f>
        <v>0</v>
      </c>
      <c r="N307" s="173">
        <f>IF($D307="","",'Total &amp; Budget Targets'!$G$63)</f>
        <v>0</v>
      </c>
      <c r="O307" s="173">
        <f>IF($D307="","",'Total &amp; Budget Targets'!$G$69)</f>
        <v>0</v>
      </c>
    </row>
    <row r="308" spans="1:15" ht="15.75" customHeight="1" x14ac:dyDescent="0.2">
      <c r="A308" s="165">
        <f t="shared" si="262"/>
        <v>304</v>
      </c>
      <c r="B308" s="172"/>
      <c r="C308" s="169">
        <f>IF(D307="","",IF(D307+1&gt;'Date Info'!$D$21,"",D307+1))</f>
        <v>54909</v>
      </c>
      <c r="D308" s="172">
        <f>IFERROR(IF(C308="","",IF(EOMONTH(C308,0)&gt;'Date Info'!$D$21,'Date Info'!$D$21,EOMONTH(C308,0))),"")</f>
        <v>54939</v>
      </c>
      <c r="E308" s="173">
        <f>IF($D308="","",IFERROR(SUMIFS(Expenses!$E:$E,Expenses!$B:$B,"&gt;="&amp;$C308,Expenses!$B:$B,"&lt;="&amp;$D308),"na"))</f>
        <v>0</v>
      </c>
      <c r="F308" s="173">
        <f>IF($D308="","",IFERROR(SUMIFS(Income!$D:$D,Income!$B:$B,"&gt;="&amp;$C308,Income!$B:$B,"&lt;="&amp;$D308),"na"))</f>
        <v>0</v>
      </c>
      <c r="G308" s="173">
        <f t="shared" si="258"/>
        <v>0</v>
      </c>
      <c r="H308" s="174" t="str">
        <f t="shared" si="259"/>
        <v>na</v>
      </c>
      <c r="I308" s="174" t="str">
        <f t="shared" si="260"/>
        <v>na</v>
      </c>
      <c r="J308" s="173">
        <f t="shared" ref="J308:L308" si="310">IF(E308="","",J$5)</f>
        <v>38</v>
      </c>
      <c r="K308" s="173">
        <f t="shared" si="310"/>
        <v>300</v>
      </c>
      <c r="L308" s="173">
        <f t="shared" si="310"/>
        <v>262</v>
      </c>
      <c r="M308" s="173">
        <f>IF($D308="","",'Total &amp; Budget Targets'!$G$44)</f>
        <v>0</v>
      </c>
      <c r="N308" s="173">
        <f>IF($D308="","",'Total &amp; Budget Targets'!$G$63)</f>
        <v>0</v>
      </c>
      <c r="O308" s="173">
        <f>IF($D308="","",'Total &amp; Budget Targets'!$G$69)</f>
        <v>0</v>
      </c>
    </row>
    <row r="309" spans="1:15" ht="15.75" customHeight="1" x14ac:dyDescent="0.2">
      <c r="A309" s="165">
        <f t="shared" si="262"/>
        <v>305</v>
      </c>
      <c r="B309" s="172"/>
      <c r="C309" s="169">
        <f>IF(D308="","",IF(D308+1&gt;'Date Info'!$D$21,"",D308+1))</f>
        <v>54940</v>
      </c>
      <c r="D309" s="172">
        <f>IFERROR(IF(C309="","",IF(EOMONTH(C309,0)&gt;'Date Info'!$D$21,'Date Info'!$D$21,EOMONTH(C309,0))),"")</f>
        <v>54969</v>
      </c>
      <c r="E309" s="173">
        <f>IF($D309="","",IFERROR(SUMIFS(Expenses!$E:$E,Expenses!$B:$B,"&gt;="&amp;$C309,Expenses!$B:$B,"&lt;="&amp;$D309),"na"))</f>
        <v>0</v>
      </c>
      <c r="F309" s="173">
        <f>IF($D309="","",IFERROR(SUMIFS(Income!$D:$D,Income!$B:$B,"&gt;="&amp;$C309,Income!$B:$B,"&lt;="&amp;$D309),"na"))</f>
        <v>0</v>
      </c>
      <c r="G309" s="173">
        <f t="shared" si="258"/>
        <v>0</v>
      </c>
      <c r="H309" s="174" t="str">
        <f t="shared" si="259"/>
        <v>na</v>
      </c>
      <c r="I309" s="174" t="str">
        <f t="shared" si="260"/>
        <v>na</v>
      </c>
      <c r="J309" s="173">
        <f t="shared" ref="J309:L309" si="311">IF(E309="","",J$5)</f>
        <v>38</v>
      </c>
      <c r="K309" s="173">
        <f t="shared" si="311"/>
        <v>300</v>
      </c>
      <c r="L309" s="173">
        <f t="shared" si="311"/>
        <v>262</v>
      </c>
      <c r="M309" s="173">
        <f>IF($D309="","",'Total &amp; Budget Targets'!$G$44)</f>
        <v>0</v>
      </c>
      <c r="N309" s="173">
        <f>IF($D309="","",'Total &amp; Budget Targets'!$G$63)</f>
        <v>0</v>
      </c>
      <c r="O309" s="173">
        <f>IF($D309="","",'Total &amp; Budget Targets'!$G$69)</f>
        <v>0</v>
      </c>
    </row>
    <row r="310" spans="1:15" ht="15.75" customHeight="1" x14ac:dyDescent="0.2">
      <c r="A310" s="165">
        <f t="shared" si="262"/>
        <v>306</v>
      </c>
      <c r="B310" s="172"/>
      <c r="C310" s="169">
        <f>IF(D309="","",IF(D309+1&gt;'Date Info'!$D$21,"",D309+1))</f>
        <v>54970</v>
      </c>
      <c r="D310" s="172">
        <f>IFERROR(IF(C310="","",IF(EOMONTH(C310,0)&gt;'Date Info'!$D$21,'Date Info'!$D$21,EOMONTH(C310,0))),"")</f>
        <v>55000</v>
      </c>
      <c r="E310" s="173">
        <f>IF($D310="","",IFERROR(SUMIFS(Expenses!$E:$E,Expenses!$B:$B,"&gt;="&amp;$C310,Expenses!$B:$B,"&lt;="&amp;$D310),"na"))</f>
        <v>0</v>
      </c>
      <c r="F310" s="173">
        <f>IF($D310="","",IFERROR(SUMIFS(Income!$D:$D,Income!$B:$B,"&gt;="&amp;$C310,Income!$B:$B,"&lt;="&amp;$D310),"na"))</f>
        <v>0</v>
      </c>
      <c r="G310" s="173">
        <f t="shared" si="258"/>
        <v>0</v>
      </c>
      <c r="H310" s="174" t="str">
        <f t="shared" si="259"/>
        <v>na</v>
      </c>
      <c r="I310" s="174" t="str">
        <f t="shared" si="260"/>
        <v>na</v>
      </c>
      <c r="J310" s="173">
        <f t="shared" ref="J310:L310" si="312">IF(E310="","",J$5)</f>
        <v>38</v>
      </c>
      <c r="K310" s="173">
        <f t="shared" si="312"/>
        <v>300</v>
      </c>
      <c r="L310" s="173">
        <f t="shared" si="312"/>
        <v>262</v>
      </c>
      <c r="M310" s="173">
        <f>IF($D310="","",'Total &amp; Budget Targets'!$G$44)</f>
        <v>0</v>
      </c>
      <c r="N310" s="173">
        <f>IF($D310="","",'Total &amp; Budget Targets'!$G$63)</f>
        <v>0</v>
      </c>
      <c r="O310" s="173">
        <f>IF($D310="","",'Total &amp; Budget Targets'!$G$69)</f>
        <v>0</v>
      </c>
    </row>
    <row r="311" spans="1:15" ht="15.75" customHeight="1" x14ac:dyDescent="0.2">
      <c r="A311" s="165">
        <f t="shared" si="262"/>
        <v>307</v>
      </c>
      <c r="B311" s="172"/>
      <c r="C311" s="169">
        <f>IF(D310="","",IF(D310+1&gt;'Date Info'!$D$21,"",D310+1))</f>
        <v>55001</v>
      </c>
      <c r="D311" s="172">
        <f>IFERROR(IF(C311="","",IF(EOMONTH(C311,0)&gt;'Date Info'!$D$21,'Date Info'!$D$21,EOMONTH(C311,0))),"")</f>
        <v>55031</v>
      </c>
      <c r="E311" s="173">
        <f>IF($D311="","",IFERROR(SUMIFS(Expenses!$E:$E,Expenses!$B:$B,"&gt;="&amp;$C311,Expenses!$B:$B,"&lt;="&amp;$D311),"na"))</f>
        <v>0</v>
      </c>
      <c r="F311" s="173">
        <f>IF($D311="","",IFERROR(SUMIFS(Income!$D:$D,Income!$B:$B,"&gt;="&amp;$C311,Income!$B:$B,"&lt;="&amp;$D311),"na"))</f>
        <v>0</v>
      </c>
      <c r="G311" s="173">
        <f t="shared" si="258"/>
        <v>0</v>
      </c>
      <c r="H311" s="174" t="str">
        <f t="shared" si="259"/>
        <v>na</v>
      </c>
      <c r="I311" s="174" t="str">
        <f t="shared" si="260"/>
        <v>na</v>
      </c>
      <c r="J311" s="173">
        <f t="shared" ref="J311:L311" si="313">IF(E311="","",J$5)</f>
        <v>38</v>
      </c>
      <c r="K311" s="173">
        <f t="shared" si="313"/>
        <v>300</v>
      </c>
      <c r="L311" s="173">
        <f t="shared" si="313"/>
        <v>262</v>
      </c>
      <c r="M311" s="173">
        <f>IF($D311="","",'Total &amp; Budget Targets'!$G$44)</f>
        <v>0</v>
      </c>
      <c r="N311" s="173">
        <f>IF($D311="","",'Total &amp; Budget Targets'!$G$63)</f>
        <v>0</v>
      </c>
      <c r="O311" s="173">
        <f>IF($D311="","",'Total &amp; Budget Targets'!$G$69)</f>
        <v>0</v>
      </c>
    </row>
    <row r="312" spans="1:15" ht="15.75" customHeight="1" x14ac:dyDescent="0.2">
      <c r="A312" s="165">
        <f t="shared" si="262"/>
        <v>308</v>
      </c>
      <c r="B312" s="172"/>
      <c r="C312" s="169">
        <f>IF(D311="","",IF(D311+1&gt;'Date Info'!$D$21,"",D311+1))</f>
        <v>55032</v>
      </c>
      <c r="D312" s="172">
        <f>IFERROR(IF(C312="","",IF(EOMONTH(C312,0)&gt;'Date Info'!$D$21,'Date Info'!$D$21,EOMONTH(C312,0))),"")</f>
        <v>55061</v>
      </c>
      <c r="E312" s="173">
        <f>IF($D312="","",IFERROR(SUMIFS(Expenses!$E:$E,Expenses!$B:$B,"&gt;="&amp;$C312,Expenses!$B:$B,"&lt;="&amp;$D312),"na"))</f>
        <v>0</v>
      </c>
      <c r="F312" s="173">
        <f>IF($D312="","",IFERROR(SUMIFS(Income!$D:$D,Income!$B:$B,"&gt;="&amp;$C312,Income!$B:$B,"&lt;="&amp;$D312),"na"))</f>
        <v>0</v>
      </c>
      <c r="G312" s="173">
        <f t="shared" si="258"/>
        <v>0</v>
      </c>
      <c r="H312" s="174" t="str">
        <f t="shared" si="259"/>
        <v>na</v>
      </c>
      <c r="I312" s="174" t="str">
        <f t="shared" si="260"/>
        <v>na</v>
      </c>
      <c r="J312" s="173">
        <f t="shared" ref="J312:L312" si="314">IF(E312="","",J$5)</f>
        <v>38</v>
      </c>
      <c r="K312" s="173">
        <f t="shared" si="314"/>
        <v>300</v>
      </c>
      <c r="L312" s="173">
        <f t="shared" si="314"/>
        <v>262</v>
      </c>
      <c r="M312" s="173">
        <f>IF($D312="","",'Total &amp; Budget Targets'!$G$44)</f>
        <v>0</v>
      </c>
      <c r="N312" s="173">
        <f>IF($D312="","",'Total &amp; Budget Targets'!$G$63)</f>
        <v>0</v>
      </c>
      <c r="O312" s="173">
        <f>IF($D312="","",'Total &amp; Budget Targets'!$G$69)</f>
        <v>0</v>
      </c>
    </row>
    <row r="313" spans="1:15" ht="15.75" customHeight="1" x14ac:dyDescent="0.2">
      <c r="A313" s="165">
        <f t="shared" si="262"/>
        <v>309</v>
      </c>
      <c r="B313" s="172"/>
      <c r="C313" s="169">
        <f>IF(D312="","",IF(D312+1&gt;'Date Info'!$D$21,"",D312+1))</f>
        <v>55062</v>
      </c>
      <c r="D313" s="172">
        <f>IFERROR(IF(C313="","",IF(EOMONTH(C313,0)&gt;'Date Info'!$D$21,'Date Info'!$D$21,EOMONTH(C313,0))),"")</f>
        <v>55092</v>
      </c>
      <c r="E313" s="173">
        <f>IF($D313="","",IFERROR(SUMIFS(Expenses!$E:$E,Expenses!$B:$B,"&gt;="&amp;$C313,Expenses!$B:$B,"&lt;="&amp;$D313),"na"))</f>
        <v>0</v>
      </c>
      <c r="F313" s="173">
        <f>IF($D313="","",IFERROR(SUMIFS(Income!$D:$D,Income!$B:$B,"&gt;="&amp;$C313,Income!$B:$B,"&lt;="&amp;$D313),"na"))</f>
        <v>0</v>
      </c>
      <c r="G313" s="173">
        <f t="shared" si="258"/>
        <v>0</v>
      </c>
      <c r="H313" s="174" t="str">
        <f t="shared" si="259"/>
        <v>na</v>
      </c>
      <c r="I313" s="174" t="str">
        <f t="shared" si="260"/>
        <v>na</v>
      </c>
      <c r="J313" s="173">
        <f t="shared" ref="J313:L313" si="315">IF(E313="","",J$5)</f>
        <v>38</v>
      </c>
      <c r="K313" s="173">
        <f t="shared" si="315"/>
        <v>300</v>
      </c>
      <c r="L313" s="173">
        <f t="shared" si="315"/>
        <v>262</v>
      </c>
      <c r="M313" s="173">
        <f>IF($D313="","",'Total &amp; Budget Targets'!$G$44)</f>
        <v>0</v>
      </c>
      <c r="N313" s="173">
        <f>IF($D313="","",'Total &amp; Budget Targets'!$G$63)</f>
        <v>0</v>
      </c>
      <c r="O313" s="173">
        <f>IF($D313="","",'Total &amp; Budget Targets'!$G$69)</f>
        <v>0</v>
      </c>
    </row>
    <row r="314" spans="1:15" ht="15.75" customHeight="1" x14ac:dyDescent="0.2">
      <c r="A314" s="165">
        <f t="shared" si="262"/>
        <v>310</v>
      </c>
      <c r="B314" s="172"/>
      <c r="C314" s="169">
        <f>IF(D313="","",IF(D313+1&gt;'Date Info'!$D$21,"",D313+1))</f>
        <v>55093</v>
      </c>
      <c r="D314" s="172">
        <f>IFERROR(IF(C314="","",IF(EOMONTH(C314,0)&gt;'Date Info'!$D$21,'Date Info'!$D$21,EOMONTH(C314,0))),"")</f>
        <v>55122</v>
      </c>
      <c r="E314" s="173">
        <f>IF($D314="","",IFERROR(SUMIFS(Expenses!$E:$E,Expenses!$B:$B,"&gt;="&amp;$C314,Expenses!$B:$B,"&lt;="&amp;$D314),"na"))</f>
        <v>0</v>
      </c>
      <c r="F314" s="173">
        <f>IF($D314="","",IFERROR(SUMIFS(Income!$D:$D,Income!$B:$B,"&gt;="&amp;$C314,Income!$B:$B,"&lt;="&amp;$D314),"na"))</f>
        <v>0</v>
      </c>
      <c r="G314" s="173">
        <f t="shared" si="258"/>
        <v>0</v>
      </c>
      <c r="H314" s="174" t="str">
        <f t="shared" si="259"/>
        <v>na</v>
      </c>
      <c r="I314" s="174" t="str">
        <f t="shared" si="260"/>
        <v>na</v>
      </c>
      <c r="J314" s="173">
        <f t="shared" ref="J314:L314" si="316">IF(E314="","",J$5)</f>
        <v>38</v>
      </c>
      <c r="K314" s="173">
        <f t="shared" si="316"/>
        <v>300</v>
      </c>
      <c r="L314" s="173">
        <f t="shared" si="316"/>
        <v>262</v>
      </c>
      <c r="M314" s="173">
        <f>IF($D314="","",'Total &amp; Budget Targets'!$G$44)</f>
        <v>0</v>
      </c>
      <c r="N314" s="173">
        <f>IF($D314="","",'Total &amp; Budget Targets'!$G$63)</f>
        <v>0</v>
      </c>
      <c r="O314" s="173">
        <f>IF($D314="","",'Total &amp; Budget Targets'!$G$69)</f>
        <v>0</v>
      </c>
    </row>
    <row r="315" spans="1:15" ht="15.75" customHeight="1" x14ac:dyDescent="0.2">
      <c r="A315" s="165">
        <f t="shared" si="262"/>
        <v>311</v>
      </c>
      <c r="B315" s="172"/>
      <c r="C315" s="169">
        <f>IF(D314="","",IF(D314+1&gt;'Date Info'!$D$21,"",D314+1))</f>
        <v>55123</v>
      </c>
      <c r="D315" s="172">
        <f>IFERROR(IF(C315="","",IF(EOMONTH(C315,0)&gt;'Date Info'!$D$21,'Date Info'!$D$21,EOMONTH(C315,0))),"")</f>
        <v>55153</v>
      </c>
      <c r="E315" s="173">
        <f>IF($D315="","",IFERROR(SUMIFS(Expenses!$E:$E,Expenses!$B:$B,"&gt;="&amp;$C315,Expenses!$B:$B,"&lt;="&amp;$D315),"na"))</f>
        <v>0</v>
      </c>
      <c r="F315" s="173">
        <f>IF($D315="","",IFERROR(SUMIFS(Income!$D:$D,Income!$B:$B,"&gt;="&amp;$C315,Income!$B:$B,"&lt;="&amp;$D315),"na"))</f>
        <v>0</v>
      </c>
      <c r="G315" s="173">
        <f t="shared" si="258"/>
        <v>0</v>
      </c>
      <c r="H315" s="174" t="str">
        <f t="shared" si="259"/>
        <v>na</v>
      </c>
      <c r="I315" s="174" t="str">
        <f t="shared" si="260"/>
        <v>na</v>
      </c>
      <c r="J315" s="173">
        <f t="shared" ref="J315:L315" si="317">IF(E315="","",J$5)</f>
        <v>38</v>
      </c>
      <c r="K315" s="173">
        <f t="shared" si="317"/>
        <v>300</v>
      </c>
      <c r="L315" s="173">
        <f t="shared" si="317"/>
        <v>262</v>
      </c>
      <c r="M315" s="173">
        <f>IF($D315="","",'Total &amp; Budget Targets'!$G$44)</f>
        <v>0</v>
      </c>
      <c r="N315" s="173">
        <f>IF($D315="","",'Total &amp; Budget Targets'!$G$63)</f>
        <v>0</v>
      </c>
      <c r="O315" s="173">
        <f>IF($D315="","",'Total &amp; Budget Targets'!$G$69)</f>
        <v>0</v>
      </c>
    </row>
    <row r="316" spans="1:15" ht="15.75" customHeight="1" x14ac:dyDescent="0.2">
      <c r="A316" s="165">
        <f t="shared" si="262"/>
        <v>312</v>
      </c>
      <c r="B316" s="172"/>
      <c r="C316" s="169">
        <f>IF(D315="","",IF(D315+1&gt;'Date Info'!$D$21,"",D315+1))</f>
        <v>55154</v>
      </c>
      <c r="D316" s="172">
        <f>IFERROR(IF(C316="","",IF(EOMONTH(C316,0)&gt;'Date Info'!$D$21,'Date Info'!$D$21,EOMONTH(C316,0))),"")</f>
        <v>55184</v>
      </c>
      <c r="E316" s="173">
        <f>IF($D316="","",IFERROR(SUMIFS(Expenses!$E:$E,Expenses!$B:$B,"&gt;="&amp;$C316,Expenses!$B:$B,"&lt;="&amp;$D316),"na"))</f>
        <v>0</v>
      </c>
      <c r="F316" s="173">
        <f>IF($D316="","",IFERROR(SUMIFS(Income!$D:$D,Income!$B:$B,"&gt;="&amp;$C316,Income!$B:$B,"&lt;="&amp;$D316),"na"))</f>
        <v>0</v>
      </c>
      <c r="G316" s="173">
        <f t="shared" si="258"/>
        <v>0</v>
      </c>
      <c r="H316" s="174" t="str">
        <f t="shared" si="259"/>
        <v>na</v>
      </c>
      <c r="I316" s="174" t="str">
        <f t="shared" si="260"/>
        <v>na</v>
      </c>
      <c r="J316" s="173">
        <f t="shared" ref="J316:L316" si="318">IF(E316="","",J$5)</f>
        <v>38</v>
      </c>
      <c r="K316" s="173">
        <f t="shared" si="318"/>
        <v>300</v>
      </c>
      <c r="L316" s="173">
        <f t="shared" si="318"/>
        <v>262</v>
      </c>
      <c r="M316" s="173">
        <f>IF($D316="","",'Total &amp; Budget Targets'!$G$44)</f>
        <v>0</v>
      </c>
      <c r="N316" s="173">
        <f>IF($D316="","",'Total &amp; Budget Targets'!$G$63)</f>
        <v>0</v>
      </c>
      <c r="O316" s="173">
        <f>IF($D316="","",'Total &amp; Budget Targets'!$G$69)</f>
        <v>0</v>
      </c>
    </row>
    <row r="317" spans="1:15" ht="15.75" customHeight="1" x14ac:dyDescent="0.2">
      <c r="A317" s="165">
        <f t="shared" si="262"/>
        <v>313</v>
      </c>
      <c r="B317" s="172"/>
      <c r="C317" s="169">
        <f>IF(D316="","",IF(D316+1&gt;'Date Info'!$D$21,"",D316+1))</f>
        <v>55185</v>
      </c>
      <c r="D317" s="172">
        <f>IFERROR(IF(C317="","",IF(EOMONTH(C317,0)&gt;'Date Info'!$D$21,'Date Info'!$D$21,EOMONTH(C317,0))),"")</f>
        <v>55212</v>
      </c>
      <c r="E317" s="173">
        <f>IF($D317="","",IFERROR(SUMIFS(Expenses!$E:$E,Expenses!$B:$B,"&gt;="&amp;$C317,Expenses!$B:$B,"&lt;="&amp;$D317),"na"))</f>
        <v>0</v>
      </c>
      <c r="F317" s="173">
        <f>IF($D317="","",IFERROR(SUMIFS(Income!$D:$D,Income!$B:$B,"&gt;="&amp;$C317,Income!$B:$B,"&lt;="&amp;$D317),"na"))</f>
        <v>0</v>
      </c>
      <c r="G317" s="173">
        <f t="shared" si="258"/>
        <v>0</v>
      </c>
      <c r="H317" s="174" t="str">
        <f t="shared" si="259"/>
        <v>na</v>
      </c>
      <c r="I317" s="174" t="str">
        <f t="shared" si="260"/>
        <v>na</v>
      </c>
      <c r="J317" s="173">
        <f t="shared" ref="J317:L317" si="319">IF(E317="","",J$5)</f>
        <v>38</v>
      </c>
      <c r="K317" s="173">
        <f t="shared" si="319"/>
        <v>300</v>
      </c>
      <c r="L317" s="173">
        <f t="shared" si="319"/>
        <v>262</v>
      </c>
      <c r="M317" s="173">
        <f>IF($D317="","",'Total &amp; Budget Targets'!$G$44)</f>
        <v>0</v>
      </c>
      <c r="N317" s="173">
        <f>IF($D317="","",'Total &amp; Budget Targets'!$G$63)</f>
        <v>0</v>
      </c>
      <c r="O317" s="173">
        <f>IF($D317="","",'Total &amp; Budget Targets'!$G$69)</f>
        <v>0</v>
      </c>
    </row>
    <row r="318" spans="1:15" ht="15.75" customHeight="1" x14ac:dyDescent="0.2">
      <c r="A318" s="165">
        <f t="shared" si="262"/>
        <v>314</v>
      </c>
      <c r="B318" s="172"/>
      <c r="C318" s="169">
        <f>IF(D317="","",IF(D317+1&gt;'Date Info'!$D$21,"",D317+1))</f>
        <v>55213</v>
      </c>
      <c r="D318" s="172">
        <f>IFERROR(IF(C318="","",IF(EOMONTH(C318,0)&gt;'Date Info'!$D$21,'Date Info'!$D$21,EOMONTH(C318,0))),"")</f>
        <v>55243</v>
      </c>
      <c r="E318" s="173">
        <f>IF($D318="","",IFERROR(SUMIFS(Expenses!$E:$E,Expenses!$B:$B,"&gt;="&amp;$C318,Expenses!$B:$B,"&lt;="&amp;$D318),"na"))</f>
        <v>0</v>
      </c>
      <c r="F318" s="173">
        <f>IF($D318="","",IFERROR(SUMIFS(Income!$D:$D,Income!$B:$B,"&gt;="&amp;$C318,Income!$B:$B,"&lt;="&amp;$D318),"na"))</f>
        <v>0</v>
      </c>
      <c r="G318" s="173">
        <f t="shared" si="258"/>
        <v>0</v>
      </c>
      <c r="H318" s="174" t="str">
        <f t="shared" si="259"/>
        <v>na</v>
      </c>
      <c r="I318" s="174" t="str">
        <f t="shared" si="260"/>
        <v>na</v>
      </c>
      <c r="J318" s="173">
        <f t="shared" ref="J318:L318" si="320">IF(E318="","",J$5)</f>
        <v>38</v>
      </c>
      <c r="K318" s="173">
        <f t="shared" si="320"/>
        <v>300</v>
      </c>
      <c r="L318" s="173">
        <f t="shared" si="320"/>
        <v>262</v>
      </c>
      <c r="M318" s="173">
        <f>IF($D318="","",'Total &amp; Budget Targets'!$G$44)</f>
        <v>0</v>
      </c>
      <c r="N318" s="173">
        <f>IF($D318="","",'Total &amp; Budget Targets'!$G$63)</f>
        <v>0</v>
      </c>
      <c r="O318" s="173">
        <f>IF($D318="","",'Total &amp; Budget Targets'!$G$69)</f>
        <v>0</v>
      </c>
    </row>
    <row r="319" spans="1:15" ht="15.75" customHeight="1" x14ac:dyDescent="0.2">
      <c r="A319" s="165">
        <f t="shared" si="262"/>
        <v>315</v>
      </c>
      <c r="B319" s="172"/>
      <c r="C319" s="169">
        <f>IF(D318="","",IF(D318+1&gt;'Date Info'!$D$21,"",D318+1))</f>
        <v>55244</v>
      </c>
      <c r="D319" s="172">
        <f>IFERROR(IF(C319="","",IF(EOMONTH(C319,0)&gt;'Date Info'!$D$21,'Date Info'!$D$21,EOMONTH(C319,0))),"")</f>
        <v>55273</v>
      </c>
      <c r="E319" s="173">
        <f>IF($D319="","",IFERROR(SUMIFS(Expenses!$E:$E,Expenses!$B:$B,"&gt;="&amp;$C319,Expenses!$B:$B,"&lt;="&amp;$D319),"na"))</f>
        <v>0</v>
      </c>
      <c r="F319" s="173">
        <f>IF($D319="","",IFERROR(SUMIFS(Income!$D:$D,Income!$B:$B,"&gt;="&amp;$C319,Income!$B:$B,"&lt;="&amp;$D319),"na"))</f>
        <v>0</v>
      </c>
      <c r="G319" s="173">
        <f t="shared" si="258"/>
        <v>0</v>
      </c>
      <c r="H319" s="174" t="str">
        <f t="shared" si="259"/>
        <v>na</v>
      </c>
      <c r="I319" s="174" t="str">
        <f t="shared" si="260"/>
        <v>na</v>
      </c>
      <c r="J319" s="173">
        <f t="shared" ref="J319:L319" si="321">IF(E319="","",J$5)</f>
        <v>38</v>
      </c>
      <c r="K319" s="173">
        <f t="shared" si="321"/>
        <v>300</v>
      </c>
      <c r="L319" s="173">
        <f t="shared" si="321"/>
        <v>262</v>
      </c>
      <c r="M319" s="173">
        <f>IF($D319="","",'Total &amp; Budget Targets'!$G$44)</f>
        <v>0</v>
      </c>
      <c r="N319" s="173">
        <f>IF($D319="","",'Total &amp; Budget Targets'!$G$63)</f>
        <v>0</v>
      </c>
      <c r="O319" s="173">
        <f>IF($D319="","",'Total &amp; Budget Targets'!$G$69)</f>
        <v>0</v>
      </c>
    </row>
    <row r="320" spans="1:15" ht="15.75" customHeight="1" x14ac:dyDescent="0.2">
      <c r="A320" s="165">
        <f t="shared" si="262"/>
        <v>316</v>
      </c>
      <c r="B320" s="172"/>
      <c r="C320" s="169">
        <f>IF(D319="","",IF(D319+1&gt;'Date Info'!$D$21,"",D319+1))</f>
        <v>55274</v>
      </c>
      <c r="D320" s="172">
        <f>IFERROR(IF(C320="","",IF(EOMONTH(C320,0)&gt;'Date Info'!$D$21,'Date Info'!$D$21,EOMONTH(C320,0))),"")</f>
        <v>55304</v>
      </c>
      <c r="E320" s="173">
        <f>IF($D320="","",IFERROR(SUMIFS(Expenses!$E:$E,Expenses!$B:$B,"&gt;="&amp;$C320,Expenses!$B:$B,"&lt;="&amp;$D320),"na"))</f>
        <v>0</v>
      </c>
      <c r="F320" s="173">
        <f>IF($D320="","",IFERROR(SUMIFS(Income!$D:$D,Income!$B:$B,"&gt;="&amp;$C320,Income!$B:$B,"&lt;="&amp;$D320),"na"))</f>
        <v>0</v>
      </c>
      <c r="G320" s="173">
        <f t="shared" si="258"/>
        <v>0</v>
      </c>
      <c r="H320" s="174" t="str">
        <f t="shared" si="259"/>
        <v>na</v>
      </c>
      <c r="I320" s="174" t="str">
        <f t="shared" si="260"/>
        <v>na</v>
      </c>
      <c r="J320" s="173">
        <f t="shared" ref="J320:L320" si="322">IF(E320="","",J$5)</f>
        <v>38</v>
      </c>
      <c r="K320" s="173">
        <f t="shared" si="322"/>
        <v>300</v>
      </c>
      <c r="L320" s="173">
        <f t="shared" si="322"/>
        <v>262</v>
      </c>
      <c r="M320" s="173">
        <f>IF($D320="","",'Total &amp; Budget Targets'!$G$44)</f>
        <v>0</v>
      </c>
      <c r="N320" s="173">
        <f>IF($D320="","",'Total &amp; Budget Targets'!$G$63)</f>
        <v>0</v>
      </c>
      <c r="O320" s="173">
        <f>IF($D320="","",'Total &amp; Budget Targets'!$G$69)</f>
        <v>0</v>
      </c>
    </row>
    <row r="321" spans="1:15" ht="15.75" customHeight="1" x14ac:dyDescent="0.2">
      <c r="A321" s="165">
        <f t="shared" si="262"/>
        <v>317</v>
      </c>
      <c r="B321" s="172"/>
      <c r="C321" s="169">
        <f>IF(D320="","",IF(D320+1&gt;'Date Info'!$D$21,"",D320+1))</f>
        <v>55305</v>
      </c>
      <c r="D321" s="172">
        <f>IFERROR(IF(C321="","",IF(EOMONTH(C321,0)&gt;'Date Info'!$D$21,'Date Info'!$D$21,EOMONTH(C321,0))),"")</f>
        <v>55334</v>
      </c>
      <c r="E321" s="173">
        <f>IF($D321="","",IFERROR(SUMIFS(Expenses!$E:$E,Expenses!$B:$B,"&gt;="&amp;$C321,Expenses!$B:$B,"&lt;="&amp;$D321),"na"))</f>
        <v>0</v>
      </c>
      <c r="F321" s="173">
        <f>IF($D321="","",IFERROR(SUMIFS(Income!$D:$D,Income!$B:$B,"&gt;="&amp;$C321,Income!$B:$B,"&lt;="&amp;$D321),"na"))</f>
        <v>0</v>
      </c>
      <c r="G321" s="173">
        <f t="shared" si="258"/>
        <v>0</v>
      </c>
      <c r="H321" s="174" t="str">
        <f t="shared" si="259"/>
        <v>na</v>
      </c>
      <c r="I321" s="174" t="str">
        <f t="shared" si="260"/>
        <v>na</v>
      </c>
      <c r="J321" s="173">
        <f t="shared" ref="J321:L321" si="323">IF(E321="","",J$5)</f>
        <v>38</v>
      </c>
      <c r="K321" s="173">
        <f t="shared" si="323"/>
        <v>300</v>
      </c>
      <c r="L321" s="173">
        <f t="shared" si="323"/>
        <v>262</v>
      </c>
      <c r="M321" s="173">
        <f>IF($D321="","",'Total &amp; Budget Targets'!$G$44)</f>
        <v>0</v>
      </c>
      <c r="N321" s="173">
        <f>IF($D321="","",'Total &amp; Budget Targets'!$G$63)</f>
        <v>0</v>
      </c>
      <c r="O321" s="173">
        <f>IF($D321="","",'Total &amp; Budget Targets'!$G$69)</f>
        <v>0</v>
      </c>
    </row>
    <row r="322" spans="1:15" ht="15.75" customHeight="1" x14ac:dyDescent="0.2">
      <c r="A322" s="165">
        <f t="shared" si="262"/>
        <v>318</v>
      </c>
      <c r="B322" s="172"/>
      <c r="C322" s="169">
        <f>IF(D321="","",IF(D321+1&gt;'Date Info'!$D$21,"",D321+1))</f>
        <v>55335</v>
      </c>
      <c r="D322" s="172">
        <f>IFERROR(IF(C322="","",IF(EOMONTH(C322,0)&gt;'Date Info'!$D$21,'Date Info'!$D$21,EOMONTH(C322,0))),"")</f>
        <v>55365</v>
      </c>
      <c r="E322" s="173">
        <f>IF($D322="","",IFERROR(SUMIFS(Expenses!$E:$E,Expenses!$B:$B,"&gt;="&amp;$C322,Expenses!$B:$B,"&lt;="&amp;$D322),"na"))</f>
        <v>0</v>
      </c>
      <c r="F322" s="173">
        <f>IF($D322="","",IFERROR(SUMIFS(Income!$D:$D,Income!$B:$B,"&gt;="&amp;$C322,Income!$B:$B,"&lt;="&amp;$D322),"na"))</f>
        <v>0</v>
      </c>
      <c r="G322" s="173">
        <f t="shared" si="258"/>
        <v>0</v>
      </c>
      <c r="H322" s="174" t="str">
        <f t="shared" si="259"/>
        <v>na</v>
      </c>
      <c r="I322" s="174" t="str">
        <f t="shared" si="260"/>
        <v>na</v>
      </c>
      <c r="J322" s="173">
        <f t="shared" ref="J322:L322" si="324">IF(E322="","",J$5)</f>
        <v>38</v>
      </c>
      <c r="K322" s="173">
        <f t="shared" si="324"/>
        <v>300</v>
      </c>
      <c r="L322" s="173">
        <f t="shared" si="324"/>
        <v>262</v>
      </c>
      <c r="M322" s="173">
        <f>IF($D322="","",'Total &amp; Budget Targets'!$G$44)</f>
        <v>0</v>
      </c>
      <c r="N322" s="173">
        <f>IF($D322="","",'Total &amp; Budget Targets'!$G$63)</f>
        <v>0</v>
      </c>
      <c r="O322" s="173">
        <f>IF($D322="","",'Total &amp; Budget Targets'!$G$69)</f>
        <v>0</v>
      </c>
    </row>
    <row r="323" spans="1:15" ht="15.75" customHeight="1" x14ac:dyDescent="0.2">
      <c r="A323" s="165">
        <f t="shared" si="262"/>
        <v>319</v>
      </c>
      <c r="B323" s="172"/>
      <c r="C323" s="169">
        <f>IF(D322="","",IF(D322+1&gt;'Date Info'!$D$21,"",D322+1))</f>
        <v>55366</v>
      </c>
      <c r="D323" s="172">
        <f>IFERROR(IF(C323="","",IF(EOMONTH(C323,0)&gt;'Date Info'!$D$21,'Date Info'!$D$21,EOMONTH(C323,0))),"")</f>
        <v>55396</v>
      </c>
      <c r="E323" s="173">
        <f>IF($D323="","",IFERROR(SUMIFS(Expenses!$E:$E,Expenses!$B:$B,"&gt;="&amp;$C323,Expenses!$B:$B,"&lt;="&amp;$D323),"na"))</f>
        <v>0</v>
      </c>
      <c r="F323" s="173">
        <f>IF($D323="","",IFERROR(SUMIFS(Income!$D:$D,Income!$B:$B,"&gt;="&amp;$C323,Income!$B:$B,"&lt;="&amp;$D323),"na"))</f>
        <v>0</v>
      </c>
      <c r="G323" s="173">
        <f t="shared" si="258"/>
        <v>0</v>
      </c>
      <c r="H323" s="174" t="str">
        <f t="shared" si="259"/>
        <v>na</v>
      </c>
      <c r="I323" s="174" t="str">
        <f t="shared" si="260"/>
        <v>na</v>
      </c>
      <c r="J323" s="173">
        <f t="shared" ref="J323:L323" si="325">IF(E323="","",J$5)</f>
        <v>38</v>
      </c>
      <c r="K323" s="173">
        <f t="shared" si="325"/>
        <v>300</v>
      </c>
      <c r="L323" s="173">
        <f t="shared" si="325"/>
        <v>262</v>
      </c>
      <c r="M323" s="173">
        <f>IF($D323="","",'Total &amp; Budget Targets'!$G$44)</f>
        <v>0</v>
      </c>
      <c r="N323" s="173">
        <f>IF($D323="","",'Total &amp; Budget Targets'!$G$63)</f>
        <v>0</v>
      </c>
      <c r="O323" s="173">
        <f>IF($D323="","",'Total &amp; Budget Targets'!$G$69)</f>
        <v>0</v>
      </c>
    </row>
    <row r="324" spans="1:15" ht="15.75" customHeight="1" x14ac:dyDescent="0.2">
      <c r="A324" s="165">
        <f t="shared" si="262"/>
        <v>320</v>
      </c>
      <c r="B324" s="172"/>
      <c r="C324" s="169">
        <f>IF(D323="","",IF(D323+1&gt;'Date Info'!$D$21,"",D323+1))</f>
        <v>55397</v>
      </c>
      <c r="D324" s="172">
        <f>IFERROR(IF(C324="","",IF(EOMONTH(C324,0)&gt;'Date Info'!$D$21,'Date Info'!$D$21,EOMONTH(C324,0))),"")</f>
        <v>55426</v>
      </c>
      <c r="E324" s="173">
        <f>IF($D324="","",IFERROR(SUMIFS(Expenses!$E:$E,Expenses!$B:$B,"&gt;="&amp;$C324,Expenses!$B:$B,"&lt;="&amp;$D324),"na"))</f>
        <v>0</v>
      </c>
      <c r="F324" s="173">
        <f>IF($D324="","",IFERROR(SUMIFS(Income!$D:$D,Income!$B:$B,"&gt;="&amp;$C324,Income!$B:$B,"&lt;="&amp;$D324),"na"))</f>
        <v>0</v>
      </c>
      <c r="G324" s="173">
        <f t="shared" si="258"/>
        <v>0</v>
      </c>
      <c r="H324" s="174" t="str">
        <f t="shared" si="259"/>
        <v>na</v>
      </c>
      <c r="I324" s="174" t="str">
        <f t="shared" si="260"/>
        <v>na</v>
      </c>
      <c r="J324" s="173">
        <f t="shared" ref="J324:L324" si="326">IF(E324="","",J$5)</f>
        <v>38</v>
      </c>
      <c r="K324" s="173">
        <f t="shared" si="326"/>
        <v>300</v>
      </c>
      <c r="L324" s="173">
        <f t="shared" si="326"/>
        <v>262</v>
      </c>
      <c r="M324" s="173">
        <f>IF($D324="","",'Total &amp; Budget Targets'!$G$44)</f>
        <v>0</v>
      </c>
      <c r="N324" s="173">
        <f>IF($D324="","",'Total &amp; Budget Targets'!$G$63)</f>
        <v>0</v>
      </c>
      <c r="O324" s="173">
        <f>IF($D324="","",'Total &amp; Budget Targets'!$G$69)</f>
        <v>0</v>
      </c>
    </row>
    <row r="325" spans="1:15" ht="15.75" customHeight="1" x14ac:dyDescent="0.2">
      <c r="A325" s="165">
        <f t="shared" si="262"/>
        <v>321</v>
      </c>
      <c r="B325" s="172"/>
      <c r="C325" s="169">
        <f>IF(D324="","",IF(D324+1&gt;'Date Info'!$D$21,"",D324+1))</f>
        <v>55427</v>
      </c>
      <c r="D325" s="172">
        <f>IFERROR(IF(C325="","",IF(EOMONTH(C325,0)&gt;'Date Info'!$D$21,'Date Info'!$D$21,EOMONTH(C325,0))),"")</f>
        <v>55457</v>
      </c>
      <c r="E325" s="173">
        <f>IF($D325="","",IFERROR(SUMIFS(Expenses!$E:$E,Expenses!$B:$B,"&gt;="&amp;$C325,Expenses!$B:$B,"&lt;="&amp;$D325),"na"))</f>
        <v>0</v>
      </c>
      <c r="F325" s="173">
        <f>IF($D325="","",IFERROR(SUMIFS(Income!$D:$D,Income!$B:$B,"&gt;="&amp;$C325,Income!$B:$B,"&lt;="&amp;$D325),"na"))</f>
        <v>0</v>
      </c>
      <c r="G325" s="173">
        <f t="shared" si="258"/>
        <v>0</v>
      </c>
      <c r="H325" s="174" t="str">
        <f t="shared" si="259"/>
        <v>na</v>
      </c>
      <c r="I325" s="174" t="str">
        <f t="shared" si="260"/>
        <v>na</v>
      </c>
      <c r="J325" s="173">
        <f t="shared" ref="J325:L325" si="327">IF(E325="","",J$5)</f>
        <v>38</v>
      </c>
      <c r="K325" s="173">
        <f t="shared" si="327"/>
        <v>300</v>
      </c>
      <c r="L325" s="173">
        <f t="shared" si="327"/>
        <v>262</v>
      </c>
      <c r="M325" s="173">
        <f>IF($D325="","",'Total &amp; Budget Targets'!$G$44)</f>
        <v>0</v>
      </c>
      <c r="N325" s="173">
        <f>IF($D325="","",'Total &amp; Budget Targets'!$G$63)</f>
        <v>0</v>
      </c>
      <c r="O325" s="173">
        <f>IF($D325="","",'Total &amp; Budget Targets'!$G$69)</f>
        <v>0</v>
      </c>
    </row>
    <row r="326" spans="1:15" ht="15.75" customHeight="1" x14ac:dyDescent="0.2">
      <c r="A326" s="165">
        <f t="shared" si="262"/>
        <v>322</v>
      </c>
      <c r="B326" s="172"/>
      <c r="C326" s="169">
        <f>IF(D325="","",IF(D325+1&gt;'Date Info'!$D$21,"",D325+1))</f>
        <v>55458</v>
      </c>
      <c r="D326" s="172">
        <f>IFERROR(IF(C326="","",IF(EOMONTH(C326,0)&gt;'Date Info'!$D$21,'Date Info'!$D$21,EOMONTH(C326,0))),"")</f>
        <v>55487</v>
      </c>
      <c r="E326" s="173">
        <f>IF($D326="","",IFERROR(SUMIFS(Expenses!$E:$E,Expenses!$B:$B,"&gt;="&amp;$C326,Expenses!$B:$B,"&lt;="&amp;$D326),"na"))</f>
        <v>0</v>
      </c>
      <c r="F326" s="173">
        <f>IF($D326="","",IFERROR(SUMIFS(Income!$D:$D,Income!$B:$B,"&gt;="&amp;$C326,Income!$B:$B,"&lt;="&amp;$D326),"na"))</f>
        <v>0</v>
      </c>
      <c r="G326" s="173">
        <f t="shared" si="258"/>
        <v>0</v>
      </c>
      <c r="H326" s="174" t="str">
        <f t="shared" si="259"/>
        <v>na</v>
      </c>
      <c r="I326" s="174" t="str">
        <f t="shared" si="260"/>
        <v>na</v>
      </c>
      <c r="J326" s="173">
        <f t="shared" ref="J326:L326" si="328">IF(E326="","",J$5)</f>
        <v>38</v>
      </c>
      <c r="K326" s="173">
        <f t="shared" si="328"/>
        <v>300</v>
      </c>
      <c r="L326" s="173">
        <f t="shared" si="328"/>
        <v>262</v>
      </c>
      <c r="M326" s="173">
        <f>IF($D326="","",'Total &amp; Budget Targets'!$G$44)</f>
        <v>0</v>
      </c>
      <c r="N326" s="173">
        <f>IF($D326="","",'Total &amp; Budget Targets'!$G$63)</f>
        <v>0</v>
      </c>
      <c r="O326" s="173">
        <f>IF($D326="","",'Total &amp; Budget Targets'!$G$69)</f>
        <v>0</v>
      </c>
    </row>
    <row r="327" spans="1:15" ht="15.75" customHeight="1" x14ac:dyDescent="0.2">
      <c r="A327" s="165">
        <f t="shared" si="262"/>
        <v>323</v>
      </c>
      <c r="B327" s="172"/>
      <c r="C327" s="169">
        <f>IF(D326="","",IF(D326+1&gt;'Date Info'!$D$21,"",D326+1))</f>
        <v>55488</v>
      </c>
      <c r="D327" s="172">
        <f>IFERROR(IF(C327="","",IF(EOMONTH(C327,0)&gt;'Date Info'!$D$21,'Date Info'!$D$21,EOMONTH(C327,0))),"")</f>
        <v>55518</v>
      </c>
      <c r="E327" s="173">
        <f>IF($D327="","",IFERROR(SUMIFS(Expenses!$E:$E,Expenses!$B:$B,"&gt;="&amp;$C327,Expenses!$B:$B,"&lt;="&amp;$D327),"na"))</f>
        <v>0</v>
      </c>
      <c r="F327" s="173">
        <f>IF($D327="","",IFERROR(SUMIFS(Income!$D:$D,Income!$B:$B,"&gt;="&amp;$C327,Income!$B:$B,"&lt;="&amp;$D327),"na"))</f>
        <v>0</v>
      </c>
      <c r="G327" s="173">
        <f t="shared" si="258"/>
        <v>0</v>
      </c>
      <c r="H327" s="174" t="str">
        <f t="shared" si="259"/>
        <v>na</v>
      </c>
      <c r="I327" s="174" t="str">
        <f t="shared" si="260"/>
        <v>na</v>
      </c>
      <c r="J327" s="173">
        <f t="shared" ref="J327:L327" si="329">IF(E327="","",J$5)</f>
        <v>38</v>
      </c>
      <c r="K327" s="173">
        <f t="shared" si="329"/>
        <v>300</v>
      </c>
      <c r="L327" s="173">
        <f t="shared" si="329"/>
        <v>262</v>
      </c>
      <c r="M327" s="173">
        <f>IF($D327="","",'Total &amp; Budget Targets'!$G$44)</f>
        <v>0</v>
      </c>
      <c r="N327" s="173">
        <f>IF($D327="","",'Total &amp; Budget Targets'!$G$63)</f>
        <v>0</v>
      </c>
      <c r="O327" s="173">
        <f>IF($D327="","",'Total &amp; Budget Targets'!$G$69)</f>
        <v>0</v>
      </c>
    </row>
    <row r="328" spans="1:15" ht="15.75" customHeight="1" x14ac:dyDescent="0.2">
      <c r="A328" s="165">
        <f t="shared" si="262"/>
        <v>324</v>
      </c>
      <c r="B328" s="172"/>
      <c r="C328" s="169">
        <f>IF(D327="","",IF(D327+1&gt;'Date Info'!$D$21,"",D327+1))</f>
        <v>55519</v>
      </c>
      <c r="D328" s="172">
        <f>IFERROR(IF(C328="","",IF(EOMONTH(C328,0)&gt;'Date Info'!$D$21,'Date Info'!$D$21,EOMONTH(C328,0))),"")</f>
        <v>55549</v>
      </c>
      <c r="E328" s="173">
        <f>IF($D328="","",IFERROR(SUMIFS(Expenses!$E:$E,Expenses!$B:$B,"&gt;="&amp;$C328,Expenses!$B:$B,"&lt;="&amp;$D328),"na"))</f>
        <v>0</v>
      </c>
      <c r="F328" s="173">
        <f>IF($D328="","",IFERROR(SUMIFS(Income!$D:$D,Income!$B:$B,"&gt;="&amp;$C328,Income!$B:$B,"&lt;="&amp;$D328),"na"))</f>
        <v>0</v>
      </c>
      <c r="G328" s="173">
        <f t="shared" si="258"/>
        <v>0</v>
      </c>
      <c r="H328" s="174" t="str">
        <f t="shared" si="259"/>
        <v>na</v>
      </c>
      <c r="I328" s="174" t="str">
        <f t="shared" si="260"/>
        <v>na</v>
      </c>
      <c r="J328" s="173">
        <f t="shared" ref="J328:L328" si="330">IF(E328="","",J$5)</f>
        <v>38</v>
      </c>
      <c r="K328" s="173">
        <f t="shared" si="330"/>
        <v>300</v>
      </c>
      <c r="L328" s="173">
        <f t="shared" si="330"/>
        <v>262</v>
      </c>
      <c r="M328" s="173">
        <f>IF($D328="","",'Total &amp; Budget Targets'!$G$44)</f>
        <v>0</v>
      </c>
      <c r="N328" s="173">
        <f>IF($D328="","",'Total &amp; Budget Targets'!$G$63)</f>
        <v>0</v>
      </c>
      <c r="O328" s="173">
        <f>IF($D328="","",'Total &amp; Budget Targets'!$G$69)</f>
        <v>0</v>
      </c>
    </row>
    <row r="329" spans="1:15" ht="15.75" customHeight="1" x14ac:dyDescent="0.2">
      <c r="A329" s="165">
        <f t="shared" si="262"/>
        <v>325</v>
      </c>
      <c r="B329" s="172"/>
      <c r="C329" s="169">
        <f>IF(D328="","",IF(D328+1&gt;'Date Info'!$D$21,"",D328+1))</f>
        <v>55550</v>
      </c>
      <c r="D329" s="172">
        <f>IFERROR(IF(C329="","",IF(EOMONTH(C329,0)&gt;'Date Info'!$D$21,'Date Info'!$D$21,EOMONTH(C329,0))),"")</f>
        <v>55578</v>
      </c>
      <c r="E329" s="173">
        <f>IF($D329="","",IFERROR(SUMIFS(Expenses!$E:$E,Expenses!$B:$B,"&gt;="&amp;$C329,Expenses!$B:$B,"&lt;="&amp;$D329),"na"))</f>
        <v>0</v>
      </c>
      <c r="F329" s="173">
        <f>IF($D329="","",IFERROR(SUMIFS(Income!$D:$D,Income!$B:$B,"&gt;="&amp;$C329,Income!$B:$B,"&lt;="&amp;$D329),"na"))</f>
        <v>0</v>
      </c>
      <c r="G329" s="173">
        <f t="shared" si="258"/>
        <v>0</v>
      </c>
      <c r="H329" s="174" t="str">
        <f t="shared" si="259"/>
        <v>na</v>
      </c>
      <c r="I329" s="174" t="str">
        <f t="shared" si="260"/>
        <v>na</v>
      </c>
      <c r="J329" s="173">
        <f t="shared" ref="J329:L329" si="331">IF(E329="","",J$5)</f>
        <v>38</v>
      </c>
      <c r="K329" s="173">
        <f t="shared" si="331"/>
        <v>300</v>
      </c>
      <c r="L329" s="173">
        <f t="shared" si="331"/>
        <v>262</v>
      </c>
      <c r="M329" s="173">
        <f>IF($D329="","",'Total &amp; Budget Targets'!$G$44)</f>
        <v>0</v>
      </c>
      <c r="N329" s="173">
        <f>IF($D329="","",'Total &amp; Budget Targets'!$G$63)</f>
        <v>0</v>
      </c>
      <c r="O329" s="173">
        <f>IF($D329="","",'Total &amp; Budget Targets'!$G$69)</f>
        <v>0</v>
      </c>
    </row>
    <row r="330" spans="1:15" ht="15.75" customHeight="1" x14ac:dyDescent="0.2">
      <c r="A330" s="165">
        <f t="shared" si="262"/>
        <v>326</v>
      </c>
      <c r="B330" s="172"/>
      <c r="C330" s="169">
        <f>IF(D329="","",IF(D329+1&gt;'Date Info'!$D$21,"",D329+1))</f>
        <v>55579</v>
      </c>
      <c r="D330" s="172">
        <f>IFERROR(IF(C330="","",IF(EOMONTH(C330,0)&gt;'Date Info'!$D$21,'Date Info'!$D$21,EOMONTH(C330,0))),"")</f>
        <v>55609</v>
      </c>
      <c r="E330" s="173">
        <f>IF($D330="","",IFERROR(SUMIFS(Expenses!$E:$E,Expenses!$B:$B,"&gt;="&amp;$C330,Expenses!$B:$B,"&lt;="&amp;$D330),"na"))</f>
        <v>0</v>
      </c>
      <c r="F330" s="173">
        <f>IF($D330="","",IFERROR(SUMIFS(Income!$D:$D,Income!$B:$B,"&gt;="&amp;$C330,Income!$B:$B,"&lt;="&amp;$D330),"na"))</f>
        <v>0</v>
      </c>
      <c r="G330" s="173">
        <f t="shared" si="258"/>
        <v>0</v>
      </c>
      <c r="H330" s="174" t="str">
        <f t="shared" si="259"/>
        <v>na</v>
      </c>
      <c r="I330" s="174" t="str">
        <f t="shared" si="260"/>
        <v>na</v>
      </c>
      <c r="J330" s="173">
        <f t="shared" ref="J330:L330" si="332">IF(E330="","",J$5)</f>
        <v>38</v>
      </c>
      <c r="K330" s="173">
        <f t="shared" si="332"/>
        <v>300</v>
      </c>
      <c r="L330" s="173">
        <f t="shared" si="332"/>
        <v>262</v>
      </c>
      <c r="M330" s="173">
        <f>IF($D330="","",'Total &amp; Budget Targets'!$G$44)</f>
        <v>0</v>
      </c>
      <c r="N330" s="173">
        <f>IF($D330="","",'Total &amp; Budget Targets'!$G$63)</f>
        <v>0</v>
      </c>
      <c r="O330" s="173">
        <f>IF($D330="","",'Total &amp; Budget Targets'!$G$69)</f>
        <v>0</v>
      </c>
    </row>
    <row r="331" spans="1:15" ht="15.75" customHeight="1" x14ac:dyDescent="0.2">
      <c r="A331" s="165">
        <f t="shared" si="262"/>
        <v>327</v>
      </c>
      <c r="B331" s="172"/>
      <c r="C331" s="169">
        <f>IF(D330="","",IF(D330+1&gt;'Date Info'!$D$21,"",D330+1))</f>
        <v>55610</v>
      </c>
      <c r="D331" s="172">
        <f>IFERROR(IF(C331="","",IF(EOMONTH(C331,0)&gt;'Date Info'!$D$21,'Date Info'!$D$21,EOMONTH(C331,0))),"")</f>
        <v>55639</v>
      </c>
      <c r="E331" s="173">
        <f>IF($D331="","",IFERROR(SUMIFS(Expenses!$E:$E,Expenses!$B:$B,"&gt;="&amp;$C331,Expenses!$B:$B,"&lt;="&amp;$D331),"na"))</f>
        <v>0</v>
      </c>
      <c r="F331" s="173">
        <f>IF($D331="","",IFERROR(SUMIFS(Income!$D:$D,Income!$B:$B,"&gt;="&amp;$C331,Income!$B:$B,"&lt;="&amp;$D331),"na"))</f>
        <v>0</v>
      </c>
      <c r="G331" s="173">
        <f t="shared" si="258"/>
        <v>0</v>
      </c>
      <c r="H331" s="174" t="str">
        <f t="shared" si="259"/>
        <v>na</v>
      </c>
      <c r="I331" s="174" t="str">
        <f t="shared" si="260"/>
        <v>na</v>
      </c>
      <c r="J331" s="173">
        <f t="shared" ref="J331:L331" si="333">IF(E331="","",J$5)</f>
        <v>38</v>
      </c>
      <c r="K331" s="173">
        <f t="shared" si="333"/>
        <v>300</v>
      </c>
      <c r="L331" s="173">
        <f t="shared" si="333"/>
        <v>262</v>
      </c>
      <c r="M331" s="173">
        <f>IF($D331="","",'Total &amp; Budget Targets'!$G$44)</f>
        <v>0</v>
      </c>
      <c r="N331" s="173">
        <f>IF($D331="","",'Total &amp; Budget Targets'!$G$63)</f>
        <v>0</v>
      </c>
      <c r="O331" s="173">
        <f>IF($D331="","",'Total &amp; Budget Targets'!$G$69)</f>
        <v>0</v>
      </c>
    </row>
    <row r="332" spans="1:15" ht="15.75" customHeight="1" x14ac:dyDescent="0.2">
      <c r="A332" s="165">
        <f t="shared" si="262"/>
        <v>328</v>
      </c>
      <c r="B332" s="172"/>
      <c r="C332" s="169">
        <f>IF(D331="","",IF(D331+1&gt;'Date Info'!$D$21,"",D331+1))</f>
        <v>55640</v>
      </c>
      <c r="D332" s="172">
        <f>IFERROR(IF(C332="","",IF(EOMONTH(C332,0)&gt;'Date Info'!$D$21,'Date Info'!$D$21,EOMONTH(C332,0))),"")</f>
        <v>55670</v>
      </c>
      <c r="E332" s="173">
        <f>IF($D332="","",IFERROR(SUMIFS(Expenses!$E:$E,Expenses!$B:$B,"&gt;="&amp;$C332,Expenses!$B:$B,"&lt;="&amp;$D332),"na"))</f>
        <v>0</v>
      </c>
      <c r="F332" s="173">
        <f>IF($D332="","",IFERROR(SUMIFS(Income!$D:$D,Income!$B:$B,"&gt;="&amp;$C332,Income!$B:$B,"&lt;="&amp;$D332),"na"))</f>
        <v>0</v>
      </c>
      <c r="G332" s="173">
        <f t="shared" si="258"/>
        <v>0</v>
      </c>
      <c r="H332" s="174" t="str">
        <f t="shared" si="259"/>
        <v>na</v>
      </c>
      <c r="I332" s="174" t="str">
        <f t="shared" si="260"/>
        <v>na</v>
      </c>
      <c r="J332" s="173">
        <f t="shared" ref="J332:L332" si="334">IF(E332="","",J$5)</f>
        <v>38</v>
      </c>
      <c r="K332" s="173">
        <f t="shared" si="334"/>
        <v>300</v>
      </c>
      <c r="L332" s="173">
        <f t="shared" si="334"/>
        <v>262</v>
      </c>
      <c r="M332" s="173">
        <f>IF($D332="","",'Total &amp; Budget Targets'!$G$44)</f>
        <v>0</v>
      </c>
      <c r="N332" s="173">
        <f>IF($D332="","",'Total &amp; Budget Targets'!$G$63)</f>
        <v>0</v>
      </c>
      <c r="O332" s="173">
        <f>IF($D332="","",'Total &amp; Budget Targets'!$G$69)</f>
        <v>0</v>
      </c>
    </row>
    <row r="333" spans="1:15" ht="15.75" customHeight="1" x14ac:dyDescent="0.2">
      <c r="A333" s="165">
        <f t="shared" si="262"/>
        <v>329</v>
      </c>
      <c r="B333" s="172"/>
      <c r="C333" s="169">
        <f>IF(D332="","",IF(D332+1&gt;'Date Info'!$D$21,"",D332+1))</f>
        <v>55671</v>
      </c>
      <c r="D333" s="172">
        <f>IFERROR(IF(C333="","",IF(EOMONTH(C333,0)&gt;'Date Info'!$D$21,'Date Info'!$D$21,EOMONTH(C333,0))),"")</f>
        <v>55700</v>
      </c>
      <c r="E333" s="173">
        <f>IF($D333="","",IFERROR(SUMIFS(Expenses!$E:$E,Expenses!$B:$B,"&gt;="&amp;$C333,Expenses!$B:$B,"&lt;="&amp;$D333),"na"))</f>
        <v>0</v>
      </c>
      <c r="F333" s="173">
        <f>IF($D333="","",IFERROR(SUMIFS(Income!$D:$D,Income!$B:$B,"&gt;="&amp;$C333,Income!$B:$B,"&lt;="&amp;$D333),"na"))</f>
        <v>0</v>
      </c>
      <c r="G333" s="173">
        <f t="shared" si="258"/>
        <v>0</v>
      </c>
      <c r="H333" s="174" t="str">
        <f t="shared" si="259"/>
        <v>na</v>
      </c>
      <c r="I333" s="174" t="str">
        <f t="shared" si="260"/>
        <v>na</v>
      </c>
      <c r="J333" s="173">
        <f t="shared" ref="J333:L333" si="335">IF(E333="","",J$5)</f>
        <v>38</v>
      </c>
      <c r="K333" s="173">
        <f t="shared" si="335"/>
        <v>300</v>
      </c>
      <c r="L333" s="173">
        <f t="shared" si="335"/>
        <v>262</v>
      </c>
      <c r="M333" s="173">
        <f>IF($D333="","",'Total &amp; Budget Targets'!$G$44)</f>
        <v>0</v>
      </c>
      <c r="N333" s="173">
        <f>IF($D333="","",'Total &amp; Budget Targets'!$G$63)</f>
        <v>0</v>
      </c>
      <c r="O333" s="173">
        <f>IF($D333="","",'Total &amp; Budget Targets'!$G$69)</f>
        <v>0</v>
      </c>
    </row>
    <row r="334" spans="1:15" ht="15.75" customHeight="1" x14ac:dyDescent="0.2">
      <c r="A334" s="165">
        <f t="shared" si="262"/>
        <v>330</v>
      </c>
      <c r="B334" s="172"/>
      <c r="C334" s="169">
        <f>IF(D333="","",IF(D333+1&gt;'Date Info'!$D$21,"",D333+1))</f>
        <v>55701</v>
      </c>
      <c r="D334" s="172">
        <f>IFERROR(IF(C334="","",IF(EOMONTH(C334,0)&gt;'Date Info'!$D$21,'Date Info'!$D$21,EOMONTH(C334,0))),"")</f>
        <v>55731</v>
      </c>
      <c r="E334" s="173">
        <f>IF($D334="","",IFERROR(SUMIFS(Expenses!$E:$E,Expenses!$B:$B,"&gt;="&amp;$C334,Expenses!$B:$B,"&lt;="&amp;$D334),"na"))</f>
        <v>0</v>
      </c>
      <c r="F334" s="173">
        <f>IF($D334="","",IFERROR(SUMIFS(Income!$D:$D,Income!$B:$B,"&gt;="&amp;$C334,Income!$B:$B,"&lt;="&amp;$D334),"na"))</f>
        <v>0</v>
      </c>
      <c r="G334" s="173">
        <f t="shared" si="258"/>
        <v>0</v>
      </c>
      <c r="H334" s="174" t="str">
        <f t="shared" si="259"/>
        <v>na</v>
      </c>
      <c r="I334" s="174" t="str">
        <f t="shared" si="260"/>
        <v>na</v>
      </c>
      <c r="J334" s="173">
        <f t="shared" ref="J334:L334" si="336">IF(E334="","",J$5)</f>
        <v>38</v>
      </c>
      <c r="K334" s="173">
        <f t="shared" si="336"/>
        <v>300</v>
      </c>
      <c r="L334" s="173">
        <f t="shared" si="336"/>
        <v>262</v>
      </c>
      <c r="M334" s="173">
        <f>IF($D334="","",'Total &amp; Budget Targets'!$G$44)</f>
        <v>0</v>
      </c>
      <c r="N334" s="173">
        <f>IF($D334="","",'Total &amp; Budget Targets'!$G$63)</f>
        <v>0</v>
      </c>
      <c r="O334" s="173">
        <f>IF($D334="","",'Total &amp; Budget Targets'!$G$69)</f>
        <v>0</v>
      </c>
    </row>
    <row r="335" spans="1:15" ht="15.75" customHeight="1" x14ac:dyDescent="0.2">
      <c r="A335" s="165">
        <f t="shared" si="262"/>
        <v>331</v>
      </c>
      <c r="B335" s="172"/>
      <c r="C335" s="169">
        <f>IF(D334="","",IF(D334+1&gt;'Date Info'!$D$21,"",D334+1))</f>
        <v>55732</v>
      </c>
      <c r="D335" s="172">
        <f>IFERROR(IF(C335="","",IF(EOMONTH(C335,0)&gt;'Date Info'!$D$21,'Date Info'!$D$21,EOMONTH(C335,0))),"")</f>
        <v>55762</v>
      </c>
      <c r="E335" s="173">
        <f>IF($D335="","",IFERROR(SUMIFS(Expenses!$E:$E,Expenses!$B:$B,"&gt;="&amp;$C335,Expenses!$B:$B,"&lt;="&amp;$D335),"na"))</f>
        <v>0</v>
      </c>
      <c r="F335" s="173">
        <f>IF($D335="","",IFERROR(SUMIFS(Income!$D:$D,Income!$B:$B,"&gt;="&amp;$C335,Income!$B:$B,"&lt;="&amp;$D335),"na"))</f>
        <v>0</v>
      </c>
      <c r="G335" s="173">
        <f t="shared" si="258"/>
        <v>0</v>
      </c>
      <c r="H335" s="174" t="str">
        <f t="shared" si="259"/>
        <v>na</v>
      </c>
      <c r="I335" s="174" t="str">
        <f t="shared" si="260"/>
        <v>na</v>
      </c>
      <c r="J335" s="173">
        <f t="shared" ref="J335:L335" si="337">IF(E335="","",J$5)</f>
        <v>38</v>
      </c>
      <c r="K335" s="173">
        <f t="shared" si="337"/>
        <v>300</v>
      </c>
      <c r="L335" s="173">
        <f t="shared" si="337"/>
        <v>262</v>
      </c>
      <c r="M335" s="173">
        <f>IF($D335="","",'Total &amp; Budget Targets'!$G$44)</f>
        <v>0</v>
      </c>
      <c r="N335" s="173">
        <f>IF($D335="","",'Total &amp; Budget Targets'!$G$63)</f>
        <v>0</v>
      </c>
      <c r="O335" s="173">
        <f>IF($D335="","",'Total &amp; Budget Targets'!$G$69)</f>
        <v>0</v>
      </c>
    </row>
    <row r="336" spans="1:15" ht="15.75" customHeight="1" x14ac:dyDescent="0.2">
      <c r="A336" s="165">
        <f t="shared" si="262"/>
        <v>332</v>
      </c>
      <c r="B336" s="172"/>
      <c r="C336" s="169">
        <f>IF(D335="","",IF(D335+1&gt;'Date Info'!$D$21,"",D335+1))</f>
        <v>55763</v>
      </c>
      <c r="D336" s="172">
        <f>IFERROR(IF(C336="","",IF(EOMONTH(C336,0)&gt;'Date Info'!$D$21,'Date Info'!$D$21,EOMONTH(C336,0))),"")</f>
        <v>55792</v>
      </c>
      <c r="E336" s="173">
        <f>IF($D336="","",IFERROR(SUMIFS(Expenses!$E:$E,Expenses!$B:$B,"&gt;="&amp;$C336,Expenses!$B:$B,"&lt;="&amp;$D336),"na"))</f>
        <v>0</v>
      </c>
      <c r="F336" s="173">
        <f>IF($D336="","",IFERROR(SUMIFS(Income!$D:$D,Income!$B:$B,"&gt;="&amp;$C336,Income!$B:$B,"&lt;="&amp;$D336),"na"))</f>
        <v>0</v>
      </c>
      <c r="G336" s="173">
        <f t="shared" si="258"/>
        <v>0</v>
      </c>
      <c r="H336" s="174" t="str">
        <f t="shared" si="259"/>
        <v>na</v>
      </c>
      <c r="I336" s="174" t="str">
        <f t="shared" si="260"/>
        <v>na</v>
      </c>
      <c r="J336" s="173">
        <f t="shared" ref="J336:L336" si="338">IF(E336="","",J$5)</f>
        <v>38</v>
      </c>
      <c r="K336" s="173">
        <f t="shared" si="338"/>
        <v>300</v>
      </c>
      <c r="L336" s="173">
        <f t="shared" si="338"/>
        <v>262</v>
      </c>
      <c r="M336" s="173">
        <f>IF($D336="","",'Total &amp; Budget Targets'!$G$44)</f>
        <v>0</v>
      </c>
      <c r="N336" s="173">
        <f>IF($D336="","",'Total &amp; Budget Targets'!$G$63)</f>
        <v>0</v>
      </c>
      <c r="O336" s="173">
        <f>IF($D336="","",'Total &amp; Budget Targets'!$G$69)</f>
        <v>0</v>
      </c>
    </row>
    <row r="337" spans="1:15" ht="15.75" customHeight="1" x14ac:dyDescent="0.2">
      <c r="A337" s="165">
        <f t="shared" si="262"/>
        <v>333</v>
      </c>
      <c r="B337" s="172"/>
      <c r="C337" s="169">
        <f>IF(D336="","",IF(D336+1&gt;'Date Info'!$D$21,"",D336+1))</f>
        <v>55793</v>
      </c>
      <c r="D337" s="172">
        <f>IFERROR(IF(C337="","",IF(EOMONTH(C337,0)&gt;'Date Info'!$D$21,'Date Info'!$D$21,EOMONTH(C337,0))),"")</f>
        <v>55823</v>
      </c>
      <c r="E337" s="173">
        <f>IF($D337="","",IFERROR(SUMIFS(Expenses!$E:$E,Expenses!$B:$B,"&gt;="&amp;$C337,Expenses!$B:$B,"&lt;="&amp;$D337),"na"))</f>
        <v>0</v>
      </c>
      <c r="F337" s="173">
        <f>IF($D337="","",IFERROR(SUMIFS(Income!$D:$D,Income!$B:$B,"&gt;="&amp;$C337,Income!$B:$B,"&lt;="&amp;$D337),"na"))</f>
        <v>0</v>
      </c>
      <c r="G337" s="173">
        <f t="shared" si="258"/>
        <v>0</v>
      </c>
      <c r="H337" s="174" t="str">
        <f t="shared" si="259"/>
        <v>na</v>
      </c>
      <c r="I337" s="174" t="str">
        <f t="shared" si="260"/>
        <v>na</v>
      </c>
      <c r="J337" s="173">
        <f t="shared" ref="J337:L337" si="339">IF(E337="","",J$5)</f>
        <v>38</v>
      </c>
      <c r="K337" s="173">
        <f t="shared" si="339"/>
        <v>300</v>
      </c>
      <c r="L337" s="173">
        <f t="shared" si="339"/>
        <v>262</v>
      </c>
      <c r="M337" s="173">
        <f>IF($D337="","",'Total &amp; Budget Targets'!$G$44)</f>
        <v>0</v>
      </c>
      <c r="N337" s="173">
        <f>IF($D337="","",'Total &amp; Budget Targets'!$G$63)</f>
        <v>0</v>
      </c>
      <c r="O337" s="173">
        <f>IF($D337="","",'Total &amp; Budget Targets'!$G$69)</f>
        <v>0</v>
      </c>
    </row>
    <row r="338" spans="1:15" ht="15.75" customHeight="1" x14ac:dyDescent="0.2">
      <c r="A338" s="165">
        <f t="shared" si="262"/>
        <v>334</v>
      </c>
      <c r="B338" s="172"/>
      <c r="C338" s="169">
        <f>IF(D337="","",IF(D337+1&gt;'Date Info'!$D$21,"",D337+1))</f>
        <v>55824</v>
      </c>
      <c r="D338" s="172">
        <f>IFERROR(IF(C338="","",IF(EOMONTH(C338,0)&gt;'Date Info'!$D$21,'Date Info'!$D$21,EOMONTH(C338,0))),"")</f>
        <v>55853</v>
      </c>
      <c r="E338" s="173">
        <f>IF($D338="","",IFERROR(SUMIFS(Expenses!$E:$E,Expenses!$B:$B,"&gt;="&amp;$C338,Expenses!$B:$B,"&lt;="&amp;$D338),"na"))</f>
        <v>0</v>
      </c>
      <c r="F338" s="173">
        <f>IF($D338="","",IFERROR(SUMIFS(Income!$D:$D,Income!$B:$B,"&gt;="&amp;$C338,Income!$B:$B,"&lt;="&amp;$D338),"na"))</f>
        <v>0</v>
      </c>
      <c r="G338" s="173">
        <f t="shared" si="258"/>
        <v>0</v>
      </c>
      <c r="H338" s="174" t="str">
        <f t="shared" si="259"/>
        <v>na</v>
      </c>
      <c r="I338" s="174" t="str">
        <f t="shared" si="260"/>
        <v>na</v>
      </c>
      <c r="J338" s="173">
        <f t="shared" ref="J338:L338" si="340">IF(E338="","",J$5)</f>
        <v>38</v>
      </c>
      <c r="K338" s="173">
        <f t="shared" si="340"/>
        <v>300</v>
      </c>
      <c r="L338" s="173">
        <f t="shared" si="340"/>
        <v>262</v>
      </c>
      <c r="M338" s="173">
        <f>IF($D338="","",'Total &amp; Budget Targets'!$G$44)</f>
        <v>0</v>
      </c>
      <c r="N338" s="173">
        <f>IF($D338="","",'Total &amp; Budget Targets'!$G$63)</f>
        <v>0</v>
      </c>
      <c r="O338" s="173">
        <f>IF($D338="","",'Total &amp; Budget Targets'!$G$69)</f>
        <v>0</v>
      </c>
    </row>
    <row r="339" spans="1:15" ht="15.75" customHeight="1" x14ac:dyDescent="0.2">
      <c r="A339" s="165">
        <f t="shared" si="262"/>
        <v>335</v>
      </c>
      <c r="B339" s="172"/>
      <c r="C339" s="169">
        <f>IF(D338="","",IF(D338+1&gt;'Date Info'!$D$21,"",D338+1))</f>
        <v>55854</v>
      </c>
      <c r="D339" s="172">
        <f>IFERROR(IF(C339="","",IF(EOMONTH(C339,0)&gt;'Date Info'!$D$21,'Date Info'!$D$21,EOMONTH(C339,0))),"")</f>
        <v>55884</v>
      </c>
      <c r="E339" s="173">
        <f>IF($D339="","",IFERROR(SUMIFS(Expenses!$E:$E,Expenses!$B:$B,"&gt;="&amp;$C339,Expenses!$B:$B,"&lt;="&amp;$D339),"na"))</f>
        <v>0</v>
      </c>
      <c r="F339" s="173">
        <f>IF($D339="","",IFERROR(SUMIFS(Income!$D:$D,Income!$B:$B,"&gt;="&amp;$C339,Income!$B:$B,"&lt;="&amp;$D339),"na"))</f>
        <v>0</v>
      </c>
      <c r="G339" s="173">
        <f t="shared" si="258"/>
        <v>0</v>
      </c>
      <c r="H339" s="174" t="str">
        <f t="shared" si="259"/>
        <v>na</v>
      </c>
      <c r="I339" s="174" t="str">
        <f t="shared" si="260"/>
        <v>na</v>
      </c>
      <c r="J339" s="173">
        <f t="shared" ref="J339:L339" si="341">IF(E339="","",J$5)</f>
        <v>38</v>
      </c>
      <c r="K339" s="173">
        <f t="shared" si="341"/>
        <v>300</v>
      </c>
      <c r="L339" s="173">
        <f t="shared" si="341"/>
        <v>262</v>
      </c>
      <c r="M339" s="173">
        <f>IF($D339="","",'Total &amp; Budget Targets'!$G$44)</f>
        <v>0</v>
      </c>
      <c r="N339" s="173">
        <f>IF($D339="","",'Total &amp; Budget Targets'!$G$63)</f>
        <v>0</v>
      </c>
      <c r="O339" s="173">
        <f>IF($D339="","",'Total &amp; Budget Targets'!$G$69)</f>
        <v>0</v>
      </c>
    </row>
    <row r="340" spans="1:15" ht="15.75" customHeight="1" x14ac:dyDescent="0.2">
      <c r="A340" s="165">
        <f t="shared" si="262"/>
        <v>336</v>
      </c>
      <c r="B340" s="172"/>
      <c r="C340" s="169">
        <f>IF(D339="","",IF(D339+1&gt;'Date Info'!$D$21,"",D339+1))</f>
        <v>55885</v>
      </c>
      <c r="D340" s="172">
        <f>IFERROR(IF(C340="","",IF(EOMONTH(C340,0)&gt;'Date Info'!$D$21,'Date Info'!$D$21,EOMONTH(C340,0))),"")</f>
        <v>55915</v>
      </c>
      <c r="E340" s="173">
        <f>IF($D340="","",IFERROR(SUMIFS(Expenses!$E:$E,Expenses!$B:$B,"&gt;="&amp;$C340,Expenses!$B:$B,"&lt;="&amp;$D340),"na"))</f>
        <v>0</v>
      </c>
      <c r="F340" s="173">
        <f>IF($D340="","",IFERROR(SUMIFS(Income!$D:$D,Income!$B:$B,"&gt;="&amp;$C340,Income!$B:$B,"&lt;="&amp;$D340),"na"))</f>
        <v>0</v>
      </c>
      <c r="G340" s="173">
        <f t="shared" si="258"/>
        <v>0</v>
      </c>
      <c r="H340" s="174" t="str">
        <f t="shared" si="259"/>
        <v>na</v>
      </c>
      <c r="I340" s="174" t="str">
        <f t="shared" si="260"/>
        <v>na</v>
      </c>
      <c r="J340" s="173">
        <f t="shared" ref="J340:L340" si="342">IF(E340="","",J$5)</f>
        <v>38</v>
      </c>
      <c r="K340" s="173">
        <f t="shared" si="342"/>
        <v>300</v>
      </c>
      <c r="L340" s="173">
        <f t="shared" si="342"/>
        <v>262</v>
      </c>
      <c r="M340" s="173">
        <f>IF($D340="","",'Total &amp; Budget Targets'!$G$44)</f>
        <v>0</v>
      </c>
      <c r="N340" s="173">
        <f>IF($D340="","",'Total &amp; Budget Targets'!$G$63)</f>
        <v>0</v>
      </c>
      <c r="O340" s="173">
        <f>IF($D340="","",'Total &amp; Budget Targets'!$G$69)</f>
        <v>0</v>
      </c>
    </row>
    <row r="341" spans="1:15" ht="15.75" customHeight="1" x14ac:dyDescent="0.2">
      <c r="A341" s="165">
        <f t="shared" si="262"/>
        <v>337</v>
      </c>
      <c r="B341" s="172"/>
      <c r="C341" s="169">
        <f>IF(D340="","",IF(D340+1&gt;'Date Info'!$D$21,"",D340+1))</f>
        <v>55916</v>
      </c>
      <c r="D341" s="172">
        <f>IFERROR(IF(C341="","",IF(EOMONTH(C341,0)&gt;'Date Info'!$D$21,'Date Info'!$D$21,EOMONTH(C341,0))),"")</f>
        <v>55943</v>
      </c>
      <c r="E341" s="173">
        <f>IF($D341="","",IFERROR(SUMIFS(Expenses!$E:$E,Expenses!$B:$B,"&gt;="&amp;$C341,Expenses!$B:$B,"&lt;="&amp;$D341),"na"))</f>
        <v>0</v>
      </c>
      <c r="F341" s="173">
        <f>IF($D341="","",IFERROR(SUMIFS(Income!$D:$D,Income!$B:$B,"&gt;="&amp;$C341,Income!$B:$B,"&lt;="&amp;$D341),"na"))</f>
        <v>0</v>
      </c>
      <c r="G341" s="173">
        <f t="shared" si="258"/>
        <v>0</v>
      </c>
      <c r="H341" s="174" t="str">
        <f t="shared" si="259"/>
        <v>na</v>
      </c>
      <c r="I341" s="174" t="str">
        <f t="shared" si="260"/>
        <v>na</v>
      </c>
      <c r="J341" s="173">
        <f t="shared" ref="J341:L341" si="343">IF(E341="","",J$5)</f>
        <v>38</v>
      </c>
      <c r="K341" s="173">
        <f t="shared" si="343"/>
        <v>300</v>
      </c>
      <c r="L341" s="173">
        <f t="shared" si="343"/>
        <v>262</v>
      </c>
      <c r="M341" s="173">
        <f>IF($D341="","",'Total &amp; Budget Targets'!$G$44)</f>
        <v>0</v>
      </c>
      <c r="N341" s="173">
        <f>IF($D341="","",'Total &amp; Budget Targets'!$G$63)</f>
        <v>0</v>
      </c>
      <c r="O341" s="173">
        <f>IF($D341="","",'Total &amp; Budget Targets'!$G$69)</f>
        <v>0</v>
      </c>
    </row>
    <row r="342" spans="1:15" ht="15.75" customHeight="1" x14ac:dyDescent="0.2">
      <c r="A342" s="165">
        <f t="shared" si="262"/>
        <v>338</v>
      </c>
      <c r="B342" s="172"/>
      <c r="C342" s="169">
        <f>IF(D341="","",IF(D341+1&gt;'Date Info'!$D$21,"",D341+1))</f>
        <v>55944</v>
      </c>
      <c r="D342" s="172">
        <f>IFERROR(IF(C342="","",IF(EOMONTH(C342,0)&gt;'Date Info'!$D$21,'Date Info'!$D$21,EOMONTH(C342,0))),"")</f>
        <v>55974</v>
      </c>
      <c r="E342" s="173">
        <f>IF($D342="","",IFERROR(SUMIFS(Expenses!$E:$E,Expenses!$B:$B,"&gt;="&amp;$C342,Expenses!$B:$B,"&lt;="&amp;$D342),"na"))</f>
        <v>0</v>
      </c>
      <c r="F342" s="173">
        <f>IF($D342="","",IFERROR(SUMIFS(Income!$D:$D,Income!$B:$B,"&gt;="&amp;$C342,Income!$B:$B,"&lt;="&amp;$D342),"na"))</f>
        <v>0</v>
      </c>
      <c r="G342" s="173">
        <f t="shared" si="258"/>
        <v>0</v>
      </c>
      <c r="H342" s="174" t="str">
        <f t="shared" si="259"/>
        <v>na</v>
      </c>
      <c r="I342" s="174" t="str">
        <f t="shared" si="260"/>
        <v>na</v>
      </c>
      <c r="J342" s="173">
        <f t="shared" ref="J342:L342" si="344">IF(E342="","",J$5)</f>
        <v>38</v>
      </c>
      <c r="K342" s="173">
        <f t="shared" si="344"/>
        <v>300</v>
      </c>
      <c r="L342" s="173">
        <f t="shared" si="344"/>
        <v>262</v>
      </c>
      <c r="M342" s="173">
        <f>IF($D342="","",'Total &amp; Budget Targets'!$G$44)</f>
        <v>0</v>
      </c>
      <c r="N342" s="173">
        <f>IF($D342="","",'Total &amp; Budget Targets'!$G$63)</f>
        <v>0</v>
      </c>
      <c r="O342" s="173">
        <f>IF($D342="","",'Total &amp; Budget Targets'!$G$69)</f>
        <v>0</v>
      </c>
    </row>
    <row r="343" spans="1:15" ht="15.75" customHeight="1" x14ac:dyDescent="0.2">
      <c r="A343" s="165">
        <f t="shared" si="262"/>
        <v>339</v>
      </c>
      <c r="B343" s="172"/>
      <c r="C343" s="169">
        <f>IF(D342="","",IF(D342+1&gt;'Date Info'!$D$21,"",D342+1))</f>
        <v>55975</v>
      </c>
      <c r="D343" s="172">
        <f>IFERROR(IF(C343="","",IF(EOMONTH(C343,0)&gt;'Date Info'!$D$21,'Date Info'!$D$21,EOMONTH(C343,0))),"")</f>
        <v>56004</v>
      </c>
      <c r="E343" s="173">
        <f>IF($D343="","",IFERROR(SUMIFS(Expenses!$E:$E,Expenses!$B:$B,"&gt;="&amp;$C343,Expenses!$B:$B,"&lt;="&amp;$D343),"na"))</f>
        <v>0</v>
      </c>
      <c r="F343" s="173">
        <f>IF($D343="","",IFERROR(SUMIFS(Income!$D:$D,Income!$B:$B,"&gt;="&amp;$C343,Income!$B:$B,"&lt;="&amp;$D343),"na"))</f>
        <v>0</v>
      </c>
      <c r="G343" s="173">
        <f t="shared" si="258"/>
        <v>0</v>
      </c>
      <c r="H343" s="174" t="str">
        <f t="shared" si="259"/>
        <v>na</v>
      </c>
      <c r="I343" s="174" t="str">
        <f t="shared" si="260"/>
        <v>na</v>
      </c>
      <c r="J343" s="173">
        <f t="shared" ref="J343:L343" si="345">IF(E343="","",J$5)</f>
        <v>38</v>
      </c>
      <c r="K343" s="173">
        <f t="shared" si="345"/>
        <v>300</v>
      </c>
      <c r="L343" s="173">
        <f t="shared" si="345"/>
        <v>262</v>
      </c>
      <c r="M343" s="173">
        <f>IF($D343="","",'Total &amp; Budget Targets'!$G$44)</f>
        <v>0</v>
      </c>
      <c r="N343" s="173">
        <f>IF($D343="","",'Total &amp; Budget Targets'!$G$63)</f>
        <v>0</v>
      </c>
      <c r="O343" s="173">
        <f>IF($D343="","",'Total &amp; Budget Targets'!$G$69)</f>
        <v>0</v>
      </c>
    </row>
    <row r="344" spans="1:15" ht="15.75" customHeight="1" x14ac:dyDescent="0.2">
      <c r="A344" s="165">
        <f t="shared" si="262"/>
        <v>340</v>
      </c>
      <c r="B344" s="172"/>
      <c r="C344" s="169">
        <f>IF(D343="","",IF(D343+1&gt;'Date Info'!$D$21,"",D343+1))</f>
        <v>56005</v>
      </c>
      <c r="D344" s="172">
        <f>IFERROR(IF(C344="","",IF(EOMONTH(C344,0)&gt;'Date Info'!$D$21,'Date Info'!$D$21,EOMONTH(C344,0))),"")</f>
        <v>56035</v>
      </c>
      <c r="E344" s="173">
        <f>IF($D344="","",IFERROR(SUMIFS(Expenses!$E:$E,Expenses!$B:$B,"&gt;="&amp;$C344,Expenses!$B:$B,"&lt;="&amp;$D344),"na"))</f>
        <v>0</v>
      </c>
      <c r="F344" s="173">
        <f>IF($D344="","",IFERROR(SUMIFS(Income!$D:$D,Income!$B:$B,"&gt;="&amp;$C344,Income!$B:$B,"&lt;="&amp;$D344),"na"))</f>
        <v>0</v>
      </c>
      <c r="G344" s="173">
        <f t="shared" si="258"/>
        <v>0</v>
      </c>
      <c r="H344" s="174" t="str">
        <f t="shared" si="259"/>
        <v>na</v>
      </c>
      <c r="I344" s="174" t="str">
        <f t="shared" si="260"/>
        <v>na</v>
      </c>
      <c r="J344" s="173">
        <f t="shared" ref="J344:L344" si="346">IF(E344="","",J$5)</f>
        <v>38</v>
      </c>
      <c r="K344" s="173">
        <f t="shared" si="346"/>
        <v>300</v>
      </c>
      <c r="L344" s="173">
        <f t="shared" si="346"/>
        <v>262</v>
      </c>
      <c r="M344" s="173">
        <f>IF($D344="","",'Total &amp; Budget Targets'!$G$44)</f>
        <v>0</v>
      </c>
      <c r="N344" s="173">
        <f>IF($D344="","",'Total &amp; Budget Targets'!$G$63)</f>
        <v>0</v>
      </c>
      <c r="O344" s="173">
        <f>IF($D344="","",'Total &amp; Budget Targets'!$G$69)</f>
        <v>0</v>
      </c>
    </row>
    <row r="345" spans="1:15" ht="15.75" customHeight="1" x14ac:dyDescent="0.2">
      <c r="A345" s="165">
        <f t="shared" si="262"/>
        <v>341</v>
      </c>
      <c r="B345" s="172"/>
      <c r="C345" s="169">
        <f>IF(D344="","",IF(D344+1&gt;'Date Info'!$D$21,"",D344+1))</f>
        <v>56036</v>
      </c>
      <c r="D345" s="172">
        <f>IFERROR(IF(C345="","",IF(EOMONTH(C345,0)&gt;'Date Info'!$D$21,'Date Info'!$D$21,EOMONTH(C345,0))),"")</f>
        <v>56065</v>
      </c>
      <c r="E345" s="173">
        <f>IF($D345="","",IFERROR(SUMIFS(Expenses!$E:$E,Expenses!$B:$B,"&gt;="&amp;$C345,Expenses!$B:$B,"&lt;="&amp;$D345),"na"))</f>
        <v>0</v>
      </c>
      <c r="F345" s="173">
        <f>IF($D345="","",IFERROR(SUMIFS(Income!$D:$D,Income!$B:$B,"&gt;="&amp;$C345,Income!$B:$B,"&lt;="&amp;$D345),"na"))</f>
        <v>0</v>
      </c>
      <c r="G345" s="173">
        <f t="shared" si="258"/>
        <v>0</v>
      </c>
      <c r="H345" s="174" t="str">
        <f t="shared" si="259"/>
        <v>na</v>
      </c>
      <c r="I345" s="174" t="str">
        <f t="shared" si="260"/>
        <v>na</v>
      </c>
      <c r="J345" s="173">
        <f t="shared" ref="J345:L345" si="347">IF(E345="","",J$5)</f>
        <v>38</v>
      </c>
      <c r="K345" s="173">
        <f t="shared" si="347"/>
        <v>300</v>
      </c>
      <c r="L345" s="173">
        <f t="shared" si="347"/>
        <v>262</v>
      </c>
      <c r="M345" s="173">
        <f>IF($D345="","",'Total &amp; Budget Targets'!$G$44)</f>
        <v>0</v>
      </c>
      <c r="N345" s="173">
        <f>IF($D345="","",'Total &amp; Budget Targets'!$G$63)</f>
        <v>0</v>
      </c>
      <c r="O345" s="173">
        <f>IF($D345="","",'Total &amp; Budget Targets'!$G$69)</f>
        <v>0</v>
      </c>
    </row>
    <row r="346" spans="1:15" ht="15.75" customHeight="1" x14ac:dyDescent="0.2">
      <c r="A346" s="165">
        <f t="shared" si="262"/>
        <v>342</v>
      </c>
      <c r="B346" s="172"/>
      <c r="C346" s="169">
        <f>IF(D345="","",IF(D345+1&gt;'Date Info'!$D$21,"",D345+1))</f>
        <v>56066</v>
      </c>
      <c r="D346" s="172">
        <f>IFERROR(IF(C346="","",IF(EOMONTH(C346,0)&gt;'Date Info'!$D$21,'Date Info'!$D$21,EOMONTH(C346,0))),"")</f>
        <v>56096</v>
      </c>
      <c r="E346" s="173">
        <f>IF($D346="","",IFERROR(SUMIFS(Expenses!$E:$E,Expenses!$B:$B,"&gt;="&amp;$C346,Expenses!$B:$B,"&lt;="&amp;$D346),"na"))</f>
        <v>0</v>
      </c>
      <c r="F346" s="173">
        <f>IF($D346="","",IFERROR(SUMIFS(Income!$D:$D,Income!$B:$B,"&gt;="&amp;$C346,Income!$B:$B,"&lt;="&amp;$D346),"na"))</f>
        <v>0</v>
      </c>
      <c r="G346" s="173">
        <f t="shared" si="258"/>
        <v>0</v>
      </c>
      <c r="H346" s="174" t="str">
        <f t="shared" si="259"/>
        <v>na</v>
      </c>
      <c r="I346" s="174" t="str">
        <f t="shared" si="260"/>
        <v>na</v>
      </c>
      <c r="J346" s="173">
        <f t="shared" ref="J346:L346" si="348">IF(E346="","",J$5)</f>
        <v>38</v>
      </c>
      <c r="K346" s="173">
        <f t="shared" si="348"/>
        <v>300</v>
      </c>
      <c r="L346" s="173">
        <f t="shared" si="348"/>
        <v>262</v>
      </c>
      <c r="M346" s="173">
        <f>IF($D346="","",'Total &amp; Budget Targets'!$G$44)</f>
        <v>0</v>
      </c>
      <c r="N346" s="173">
        <f>IF($D346="","",'Total &amp; Budget Targets'!$G$63)</f>
        <v>0</v>
      </c>
      <c r="O346" s="173">
        <f>IF($D346="","",'Total &amp; Budget Targets'!$G$69)</f>
        <v>0</v>
      </c>
    </row>
    <row r="347" spans="1:15" ht="15.75" customHeight="1" x14ac:dyDescent="0.2">
      <c r="A347" s="165">
        <f t="shared" si="262"/>
        <v>343</v>
      </c>
      <c r="B347" s="172"/>
      <c r="C347" s="169">
        <f>IF(D346="","",IF(D346+1&gt;'Date Info'!$D$21,"",D346+1))</f>
        <v>56097</v>
      </c>
      <c r="D347" s="172">
        <f>IFERROR(IF(C347="","",IF(EOMONTH(C347,0)&gt;'Date Info'!$D$21,'Date Info'!$D$21,EOMONTH(C347,0))),"")</f>
        <v>56127</v>
      </c>
      <c r="E347" s="173">
        <f>IF($D347="","",IFERROR(SUMIFS(Expenses!$E:$E,Expenses!$B:$B,"&gt;="&amp;$C347,Expenses!$B:$B,"&lt;="&amp;$D347),"na"))</f>
        <v>0</v>
      </c>
      <c r="F347" s="173">
        <f>IF($D347="","",IFERROR(SUMIFS(Income!$D:$D,Income!$B:$B,"&gt;="&amp;$C347,Income!$B:$B,"&lt;="&amp;$D347),"na"))</f>
        <v>0</v>
      </c>
      <c r="G347" s="173">
        <f t="shared" si="258"/>
        <v>0</v>
      </c>
      <c r="H347" s="174" t="str">
        <f t="shared" si="259"/>
        <v>na</v>
      </c>
      <c r="I347" s="174" t="str">
        <f t="shared" si="260"/>
        <v>na</v>
      </c>
      <c r="J347" s="173">
        <f t="shared" ref="J347:L347" si="349">IF(E347="","",J$5)</f>
        <v>38</v>
      </c>
      <c r="K347" s="173">
        <f t="shared" si="349"/>
        <v>300</v>
      </c>
      <c r="L347" s="173">
        <f t="shared" si="349"/>
        <v>262</v>
      </c>
      <c r="M347" s="173">
        <f>IF($D347="","",'Total &amp; Budget Targets'!$G$44)</f>
        <v>0</v>
      </c>
      <c r="N347" s="173">
        <f>IF($D347="","",'Total &amp; Budget Targets'!$G$63)</f>
        <v>0</v>
      </c>
      <c r="O347" s="173">
        <f>IF($D347="","",'Total &amp; Budget Targets'!$G$69)</f>
        <v>0</v>
      </c>
    </row>
    <row r="348" spans="1:15" ht="15.75" customHeight="1" x14ac:dyDescent="0.2">
      <c r="A348" s="165">
        <f t="shared" si="262"/>
        <v>344</v>
      </c>
      <c r="B348" s="172"/>
      <c r="C348" s="169">
        <f>IF(D347="","",IF(D347+1&gt;'Date Info'!$D$21,"",D347+1))</f>
        <v>56128</v>
      </c>
      <c r="D348" s="172">
        <f>IFERROR(IF(C348="","",IF(EOMONTH(C348,0)&gt;'Date Info'!$D$21,'Date Info'!$D$21,EOMONTH(C348,0))),"")</f>
        <v>56157</v>
      </c>
      <c r="E348" s="173">
        <f>IF($D348="","",IFERROR(SUMIFS(Expenses!$E:$E,Expenses!$B:$B,"&gt;="&amp;$C348,Expenses!$B:$B,"&lt;="&amp;$D348),"na"))</f>
        <v>0</v>
      </c>
      <c r="F348" s="173">
        <f>IF($D348="","",IFERROR(SUMIFS(Income!$D:$D,Income!$B:$B,"&gt;="&amp;$C348,Income!$B:$B,"&lt;="&amp;$D348),"na"))</f>
        <v>0</v>
      </c>
      <c r="G348" s="173">
        <f t="shared" si="258"/>
        <v>0</v>
      </c>
      <c r="H348" s="174" t="str">
        <f t="shared" si="259"/>
        <v>na</v>
      </c>
      <c r="I348" s="174" t="str">
        <f t="shared" si="260"/>
        <v>na</v>
      </c>
      <c r="J348" s="173">
        <f t="shared" ref="J348:L348" si="350">IF(E348="","",J$5)</f>
        <v>38</v>
      </c>
      <c r="K348" s="173">
        <f t="shared" si="350"/>
        <v>300</v>
      </c>
      <c r="L348" s="173">
        <f t="shared" si="350"/>
        <v>262</v>
      </c>
      <c r="M348" s="173">
        <f>IF($D348="","",'Total &amp; Budget Targets'!$G$44)</f>
        <v>0</v>
      </c>
      <c r="N348" s="173">
        <f>IF($D348="","",'Total &amp; Budget Targets'!$G$63)</f>
        <v>0</v>
      </c>
      <c r="O348" s="173">
        <f>IF($D348="","",'Total &amp; Budget Targets'!$G$69)</f>
        <v>0</v>
      </c>
    </row>
    <row r="349" spans="1:15" ht="15.75" customHeight="1" x14ac:dyDescent="0.2">
      <c r="A349" s="165">
        <f t="shared" si="262"/>
        <v>345</v>
      </c>
      <c r="B349" s="172"/>
      <c r="C349" s="169">
        <f>IF(D348="","",IF(D348+1&gt;'Date Info'!$D$21,"",D348+1))</f>
        <v>56158</v>
      </c>
      <c r="D349" s="172">
        <f>IFERROR(IF(C349="","",IF(EOMONTH(C349,0)&gt;'Date Info'!$D$21,'Date Info'!$D$21,EOMONTH(C349,0))),"")</f>
        <v>56188</v>
      </c>
      <c r="E349" s="173">
        <f>IF($D349="","",IFERROR(SUMIFS(Expenses!$E:$E,Expenses!$B:$B,"&gt;="&amp;$C349,Expenses!$B:$B,"&lt;="&amp;$D349),"na"))</f>
        <v>0</v>
      </c>
      <c r="F349" s="173">
        <f>IF($D349="","",IFERROR(SUMIFS(Income!$D:$D,Income!$B:$B,"&gt;="&amp;$C349,Income!$B:$B,"&lt;="&amp;$D349),"na"))</f>
        <v>0</v>
      </c>
      <c r="G349" s="173">
        <f t="shared" si="258"/>
        <v>0</v>
      </c>
      <c r="H349" s="174" t="str">
        <f t="shared" si="259"/>
        <v>na</v>
      </c>
      <c r="I349" s="174" t="str">
        <f t="shared" si="260"/>
        <v>na</v>
      </c>
      <c r="J349" s="173">
        <f t="shared" ref="J349:L349" si="351">IF(E349="","",J$5)</f>
        <v>38</v>
      </c>
      <c r="K349" s="173">
        <f t="shared" si="351"/>
        <v>300</v>
      </c>
      <c r="L349" s="173">
        <f t="shared" si="351"/>
        <v>262</v>
      </c>
      <c r="M349" s="173">
        <f>IF($D349="","",'Total &amp; Budget Targets'!$G$44)</f>
        <v>0</v>
      </c>
      <c r="N349" s="173">
        <f>IF($D349="","",'Total &amp; Budget Targets'!$G$63)</f>
        <v>0</v>
      </c>
      <c r="O349" s="173">
        <f>IF($D349="","",'Total &amp; Budget Targets'!$G$69)</f>
        <v>0</v>
      </c>
    </row>
    <row r="350" spans="1:15" ht="15.75" customHeight="1" x14ac:dyDescent="0.2">
      <c r="A350" s="165">
        <f t="shared" si="262"/>
        <v>346</v>
      </c>
      <c r="B350" s="172"/>
      <c r="C350" s="169">
        <f>IF(D349="","",IF(D349+1&gt;'Date Info'!$D$21,"",D349+1))</f>
        <v>56189</v>
      </c>
      <c r="D350" s="172">
        <f>IFERROR(IF(C350="","",IF(EOMONTH(C350,0)&gt;'Date Info'!$D$21,'Date Info'!$D$21,EOMONTH(C350,0))),"")</f>
        <v>56218</v>
      </c>
      <c r="E350" s="173">
        <f>IF($D350="","",IFERROR(SUMIFS(Expenses!$E:$E,Expenses!$B:$B,"&gt;="&amp;$C350,Expenses!$B:$B,"&lt;="&amp;$D350),"na"))</f>
        <v>0</v>
      </c>
      <c r="F350" s="173">
        <f>IF($D350="","",IFERROR(SUMIFS(Income!$D:$D,Income!$B:$B,"&gt;="&amp;$C350,Income!$B:$B,"&lt;="&amp;$D350),"na"))</f>
        <v>0</v>
      </c>
      <c r="G350" s="173">
        <f t="shared" si="258"/>
        <v>0</v>
      </c>
      <c r="H350" s="174" t="str">
        <f t="shared" si="259"/>
        <v>na</v>
      </c>
      <c r="I350" s="174" t="str">
        <f t="shared" si="260"/>
        <v>na</v>
      </c>
      <c r="J350" s="173">
        <f t="shared" ref="J350:L350" si="352">IF(E350="","",J$5)</f>
        <v>38</v>
      </c>
      <c r="K350" s="173">
        <f t="shared" si="352"/>
        <v>300</v>
      </c>
      <c r="L350" s="173">
        <f t="shared" si="352"/>
        <v>262</v>
      </c>
      <c r="M350" s="173">
        <f>IF($D350="","",'Total &amp; Budget Targets'!$G$44)</f>
        <v>0</v>
      </c>
      <c r="N350" s="173">
        <f>IF($D350="","",'Total &amp; Budget Targets'!$G$63)</f>
        <v>0</v>
      </c>
      <c r="O350" s="173">
        <f>IF($D350="","",'Total &amp; Budget Targets'!$G$69)</f>
        <v>0</v>
      </c>
    </row>
    <row r="351" spans="1:15" ht="15.75" customHeight="1" x14ac:dyDescent="0.2">
      <c r="A351" s="165">
        <f t="shared" si="262"/>
        <v>347</v>
      </c>
      <c r="B351" s="172"/>
      <c r="C351" s="169">
        <f>IF(D350="","",IF(D350+1&gt;'Date Info'!$D$21,"",D350+1))</f>
        <v>56219</v>
      </c>
      <c r="D351" s="172">
        <f>IFERROR(IF(C351="","",IF(EOMONTH(C351,0)&gt;'Date Info'!$D$21,'Date Info'!$D$21,EOMONTH(C351,0))),"")</f>
        <v>56249</v>
      </c>
      <c r="E351" s="173">
        <f>IF($D351="","",IFERROR(SUMIFS(Expenses!$E:$E,Expenses!$B:$B,"&gt;="&amp;$C351,Expenses!$B:$B,"&lt;="&amp;$D351),"na"))</f>
        <v>0</v>
      </c>
      <c r="F351" s="173">
        <f>IF($D351="","",IFERROR(SUMIFS(Income!$D:$D,Income!$B:$B,"&gt;="&amp;$C351,Income!$B:$B,"&lt;="&amp;$D351),"na"))</f>
        <v>0</v>
      </c>
      <c r="G351" s="173">
        <f t="shared" si="258"/>
        <v>0</v>
      </c>
      <c r="H351" s="174" t="str">
        <f t="shared" si="259"/>
        <v>na</v>
      </c>
      <c r="I351" s="174" t="str">
        <f t="shared" si="260"/>
        <v>na</v>
      </c>
      <c r="J351" s="173">
        <f t="shared" ref="J351:L351" si="353">IF(E351="","",J$5)</f>
        <v>38</v>
      </c>
      <c r="K351" s="173">
        <f t="shared" si="353"/>
        <v>300</v>
      </c>
      <c r="L351" s="173">
        <f t="shared" si="353"/>
        <v>262</v>
      </c>
      <c r="M351" s="173">
        <f>IF($D351="","",'Total &amp; Budget Targets'!$G$44)</f>
        <v>0</v>
      </c>
      <c r="N351" s="173">
        <f>IF($D351="","",'Total &amp; Budget Targets'!$G$63)</f>
        <v>0</v>
      </c>
      <c r="O351" s="173">
        <f>IF($D351="","",'Total &amp; Budget Targets'!$G$69)</f>
        <v>0</v>
      </c>
    </row>
    <row r="352" spans="1:15" ht="15.75" customHeight="1" x14ac:dyDescent="0.2">
      <c r="A352" s="165">
        <f t="shared" si="262"/>
        <v>348</v>
      </c>
      <c r="B352" s="172"/>
      <c r="C352" s="169">
        <f>IF(D351="","",IF(D351+1&gt;'Date Info'!$D$21,"",D351+1))</f>
        <v>56250</v>
      </c>
      <c r="D352" s="172">
        <f>IFERROR(IF(C352="","",IF(EOMONTH(C352,0)&gt;'Date Info'!$D$21,'Date Info'!$D$21,EOMONTH(C352,0))),"")</f>
        <v>56280</v>
      </c>
      <c r="E352" s="173">
        <f>IF($D352="","",IFERROR(SUMIFS(Expenses!$E:$E,Expenses!$B:$B,"&gt;="&amp;$C352,Expenses!$B:$B,"&lt;="&amp;$D352),"na"))</f>
        <v>0</v>
      </c>
      <c r="F352" s="173">
        <f>IF($D352="","",IFERROR(SUMIFS(Income!$D:$D,Income!$B:$B,"&gt;="&amp;$C352,Income!$B:$B,"&lt;="&amp;$D352),"na"))</f>
        <v>0</v>
      </c>
      <c r="G352" s="173">
        <f t="shared" si="258"/>
        <v>0</v>
      </c>
      <c r="H352" s="174" t="str">
        <f t="shared" si="259"/>
        <v>na</v>
      </c>
      <c r="I352" s="174" t="str">
        <f t="shared" si="260"/>
        <v>na</v>
      </c>
      <c r="J352" s="173">
        <f t="shared" ref="J352:L352" si="354">IF(E352="","",J$5)</f>
        <v>38</v>
      </c>
      <c r="K352" s="173">
        <f t="shared" si="354"/>
        <v>300</v>
      </c>
      <c r="L352" s="173">
        <f t="shared" si="354"/>
        <v>262</v>
      </c>
      <c r="M352" s="173">
        <f>IF($D352="","",'Total &amp; Budget Targets'!$G$44)</f>
        <v>0</v>
      </c>
      <c r="N352" s="173">
        <f>IF($D352="","",'Total &amp; Budget Targets'!$G$63)</f>
        <v>0</v>
      </c>
      <c r="O352" s="173">
        <f>IF($D352="","",'Total &amp; Budget Targets'!$G$69)</f>
        <v>0</v>
      </c>
    </row>
    <row r="353" spans="1:15" ht="15.75" customHeight="1" x14ac:dyDescent="0.2">
      <c r="A353" s="165">
        <f t="shared" si="262"/>
        <v>349</v>
      </c>
      <c r="B353" s="172"/>
      <c r="C353" s="169">
        <f>IF(D352="","",IF(D352+1&gt;'Date Info'!$D$21,"",D352+1))</f>
        <v>56281</v>
      </c>
      <c r="D353" s="172">
        <f>IFERROR(IF(C353="","",IF(EOMONTH(C353,0)&gt;'Date Info'!$D$21,'Date Info'!$D$21,EOMONTH(C353,0))),"")</f>
        <v>56308</v>
      </c>
      <c r="E353" s="173">
        <f>IF($D353="","",IFERROR(SUMIFS(Expenses!$E:$E,Expenses!$B:$B,"&gt;="&amp;$C353,Expenses!$B:$B,"&lt;="&amp;$D353),"na"))</f>
        <v>0</v>
      </c>
      <c r="F353" s="173">
        <f>IF($D353="","",IFERROR(SUMIFS(Income!$D:$D,Income!$B:$B,"&gt;="&amp;$C353,Income!$B:$B,"&lt;="&amp;$D353),"na"))</f>
        <v>0</v>
      </c>
      <c r="G353" s="173">
        <f t="shared" si="258"/>
        <v>0</v>
      </c>
      <c r="H353" s="174" t="str">
        <f t="shared" si="259"/>
        <v>na</v>
      </c>
      <c r="I353" s="174" t="str">
        <f t="shared" si="260"/>
        <v>na</v>
      </c>
      <c r="J353" s="173">
        <f t="shared" ref="J353:L353" si="355">IF(E353="","",J$5)</f>
        <v>38</v>
      </c>
      <c r="K353" s="173">
        <f t="shared" si="355"/>
        <v>300</v>
      </c>
      <c r="L353" s="173">
        <f t="shared" si="355"/>
        <v>262</v>
      </c>
      <c r="M353" s="173">
        <f>IF($D353="","",'Total &amp; Budget Targets'!$G$44)</f>
        <v>0</v>
      </c>
      <c r="N353" s="173">
        <f>IF($D353="","",'Total &amp; Budget Targets'!$G$63)</f>
        <v>0</v>
      </c>
      <c r="O353" s="173">
        <f>IF($D353="","",'Total &amp; Budget Targets'!$G$69)</f>
        <v>0</v>
      </c>
    </row>
    <row r="354" spans="1:15" ht="15.75" customHeight="1" x14ac:dyDescent="0.2">
      <c r="A354" s="165">
        <f t="shared" si="262"/>
        <v>350</v>
      </c>
      <c r="B354" s="172"/>
      <c r="C354" s="169">
        <f>IF(D353="","",IF(D353+1&gt;'Date Info'!$D$21,"",D353+1))</f>
        <v>56309</v>
      </c>
      <c r="D354" s="172">
        <f>IFERROR(IF(C354="","",IF(EOMONTH(C354,0)&gt;'Date Info'!$D$21,'Date Info'!$D$21,EOMONTH(C354,0))),"")</f>
        <v>56339</v>
      </c>
      <c r="E354" s="173">
        <f>IF($D354="","",IFERROR(SUMIFS(Expenses!$E:$E,Expenses!$B:$B,"&gt;="&amp;$C354,Expenses!$B:$B,"&lt;="&amp;$D354),"na"))</f>
        <v>0</v>
      </c>
      <c r="F354" s="173">
        <f>IF($D354="","",IFERROR(SUMIFS(Income!$D:$D,Income!$B:$B,"&gt;="&amp;$C354,Income!$B:$B,"&lt;="&amp;$D354),"na"))</f>
        <v>0</v>
      </c>
      <c r="G354" s="173">
        <f t="shared" si="258"/>
        <v>0</v>
      </c>
      <c r="H354" s="174" t="str">
        <f t="shared" si="259"/>
        <v>na</v>
      </c>
      <c r="I354" s="174" t="str">
        <f t="shared" si="260"/>
        <v>na</v>
      </c>
      <c r="J354" s="173">
        <f t="shared" ref="J354:L354" si="356">IF(E354="","",J$5)</f>
        <v>38</v>
      </c>
      <c r="K354" s="173">
        <f t="shared" si="356"/>
        <v>300</v>
      </c>
      <c r="L354" s="173">
        <f t="shared" si="356"/>
        <v>262</v>
      </c>
      <c r="M354" s="173">
        <f>IF($D354="","",'Total &amp; Budget Targets'!$G$44)</f>
        <v>0</v>
      </c>
      <c r="N354" s="173">
        <f>IF($D354="","",'Total &amp; Budget Targets'!$G$63)</f>
        <v>0</v>
      </c>
      <c r="O354" s="173">
        <f>IF($D354="","",'Total &amp; Budget Targets'!$G$69)</f>
        <v>0</v>
      </c>
    </row>
    <row r="355" spans="1:15" ht="15.75" customHeight="1" x14ac:dyDescent="0.2">
      <c r="A355" s="165">
        <f t="shared" si="262"/>
        <v>351</v>
      </c>
      <c r="B355" s="172"/>
      <c r="C355" s="169">
        <f>IF(D354="","",IF(D354+1&gt;'Date Info'!$D$21,"",D354+1))</f>
        <v>56340</v>
      </c>
      <c r="D355" s="172">
        <f>IFERROR(IF(C355="","",IF(EOMONTH(C355,0)&gt;'Date Info'!$D$21,'Date Info'!$D$21,EOMONTH(C355,0))),"")</f>
        <v>56369</v>
      </c>
      <c r="E355" s="173">
        <f>IF($D355="","",IFERROR(SUMIFS(Expenses!$E:$E,Expenses!$B:$B,"&gt;="&amp;$C355,Expenses!$B:$B,"&lt;="&amp;$D355),"na"))</f>
        <v>0</v>
      </c>
      <c r="F355" s="173">
        <f>IF($D355="","",IFERROR(SUMIFS(Income!$D:$D,Income!$B:$B,"&gt;="&amp;$C355,Income!$B:$B,"&lt;="&amp;$D355),"na"))</f>
        <v>0</v>
      </c>
      <c r="G355" s="173">
        <f t="shared" si="258"/>
        <v>0</v>
      </c>
      <c r="H355" s="174" t="str">
        <f t="shared" si="259"/>
        <v>na</v>
      </c>
      <c r="I355" s="174" t="str">
        <f t="shared" si="260"/>
        <v>na</v>
      </c>
      <c r="J355" s="173">
        <f t="shared" ref="J355:L355" si="357">IF(E355="","",J$5)</f>
        <v>38</v>
      </c>
      <c r="K355" s="173">
        <f t="shared" si="357"/>
        <v>300</v>
      </c>
      <c r="L355" s="173">
        <f t="shared" si="357"/>
        <v>262</v>
      </c>
      <c r="M355" s="173">
        <f>IF($D355="","",'Total &amp; Budget Targets'!$G$44)</f>
        <v>0</v>
      </c>
      <c r="N355" s="173">
        <f>IF($D355="","",'Total &amp; Budget Targets'!$G$63)</f>
        <v>0</v>
      </c>
      <c r="O355" s="173">
        <f>IF($D355="","",'Total &amp; Budget Targets'!$G$69)</f>
        <v>0</v>
      </c>
    </row>
    <row r="356" spans="1:15" ht="15.75" customHeight="1" x14ac:dyDescent="0.2">
      <c r="A356" s="165">
        <f t="shared" si="262"/>
        <v>352</v>
      </c>
      <c r="B356" s="172"/>
      <c r="C356" s="169">
        <f>IF(D355="","",IF(D355+1&gt;'Date Info'!$D$21,"",D355+1))</f>
        <v>56370</v>
      </c>
      <c r="D356" s="172">
        <f>IFERROR(IF(C356="","",IF(EOMONTH(C356,0)&gt;'Date Info'!$D$21,'Date Info'!$D$21,EOMONTH(C356,0))),"")</f>
        <v>56400</v>
      </c>
      <c r="E356" s="173">
        <f>IF($D356="","",IFERROR(SUMIFS(Expenses!$E:$E,Expenses!$B:$B,"&gt;="&amp;$C356,Expenses!$B:$B,"&lt;="&amp;$D356),"na"))</f>
        <v>0</v>
      </c>
      <c r="F356" s="173">
        <f>IF($D356="","",IFERROR(SUMIFS(Income!$D:$D,Income!$B:$B,"&gt;="&amp;$C356,Income!$B:$B,"&lt;="&amp;$D356),"na"))</f>
        <v>0</v>
      </c>
      <c r="G356" s="173">
        <f t="shared" si="258"/>
        <v>0</v>
      </c>
      <c r="H356" s="174" t="str">
        <f t="shared" si="259"/>
        <v>na</v>
      </c>
      <c r="I356" s="174" t="str">
        <f t="shared" si="260"/>
        <v>na</v>
      </c>
      <c r="J356" s="173">
        <f t="shared" ref="J356:L356" si="358">IF(E356="","",J$5)</f>
        <v>38</v>
      </c>
      <c r="K356" s="173">
        <f t="shared" si="358"/>
        <v>300</v>
      </c>
      <c r="L356" s="173">
        <f t="shared" si="358"/>
        <v>262</v>
      </c>
      <c r="M356" s="173">
        <f>IF($D356="","",'Total &amp; Budget Targets'!$G$44)</f>
        <v>0</v>
      </c>
      <c r="N356" s="173">
        <f>IF($D356="","",'Total &amp; Budget Targets'!$G$63)</f>
        <v>0</v>
      </c>
      <c r="O356" s="173">
        <f>IF($D356="","",'Total &amp; Budget Targets'!$G$69)</f>
        <v>0</v>
      </c>
    </row>
    <row r="357" spans="1:15" ht="15.75" customHeight="1" x14ac:dyDescent="0.2">
      <c r="A357" s="165">
        <f t="shared" si="262"/>
        <v>353</v>
      </c>
      <c r="B357" s="172"/>
      <c r="C357" s="169">
        <f>IF(D356="","",IF(D356+1&gt;'Date Info'!$D$21,"",D356+1))</f>
        <v>56401</v>
      </c>
      <c r="D357" s="172">
        <f>IFERROR(IF(C357="","",IF(EOMONTH(C357,0)&gt;'Date Info'!$D$21,'Date Info'!$D$21,EOMONTH(C357,0))),"")</f>
        <v>56430</v>
      </c>
      <c r="E357" s="173">
        <f>IF($D357="","",IFERROR(SUMIFS(Expenses!$E:$E,Expenses!$B:$B,"&gt;="&amp;$C357,Expenses!$B:$B,"&lt;="&amp;$D357),"na"))</f>
        <v>0</v>
      </c>
      <c r="F357" s="173">
        <f>IF($D357="","",IFERROR(SUMIFS(Income!$D:$D,Income!$B:$B,"&gt;="&amp;$C357,Income!$B:$B,"&lt;="&amp;$D357),"na"))</f>
        <v>0</v>
      </c>
      <c r="G357" s="173">
        <f t="shared" si="258"/>
        <v>0</v>
      </c>
      <c r="H357" s="174" t="str">
        <f t="shared" si="259"/>
        <v>na</v>
      </c>
      <c r="I357" s="174" t="str">
        <f t="shared" si="260"/>
        <v>na</v>
      </c>
      <c r="J357" s="173">
        <f t="shared" ref="J357:L357" si="359">IF(E357="","",J$5)</f>
        <v>38</v>
      </c>
      <c r="K357" s="173">
        <f t="shared" si="359"/>
        <v>300</v>
      </c>
      <c r="L357" s="173">
        <f t="shared" si="359"/>
        <v>262</v>
      </c>
      <c r="M357" s="173">
        <f>IF($D357="","",'Total &amp; Budget Targets'!$G$44)</f>
        <v>0</v>
      </c>
      <c r="N357" s="173">
        <f>IF($D357="","",'Total &amp; Budget Targets'!$G$63)</f>
        <v>0</v>
      </c>
      <c r="O357" s="173">
        <f>IF($D357="","",'Total &amp; Budget Targets'!$G$69)</f>
        <v>0</v>
      </c>
    </row>
    <row r="358" spans="1:15" ht="15.75" customHeight="1" x14ac:dyDescent="0.2">
      <c r="A358" s="165">
        <f t="shared" si="262"/>
        <v>354</v>
      </c>
      <c r="B358" s="172"/>
      <c r="C358" s="169">
        <f>IF(D357="","",IF(D357+1&gt;'Date Info'!$D$21,"",D357+1))</f>
        <v>56431</v>
      </c>
      <c r="D358" s="172">
        <f>IFERROR(IF(C358="","",IF(EOMONTH(C358,0)&gt;'Date Info'!$D$21,'Date Info'!$D$21,EOMONTH(C358,0))),"")</f>
        <v>56461</v>
      </c>
      <c r="E358" s="173">
        <f>IF($D358="","",IFERROR(SUMIFS(Expenses!$E:$E,Expenses!$B:$B,"&gt;="&amp;$C358,Expenses!$B:$B,"&lt;="&amp;$D358),"na"))</f>
        <v>0</v>
      </c>
      <c r="F358" s="173">
        <f>IF($D358="","",IFERROR(SUMIFS(Income!$D:$D,Income!$B:$B,"&gt;="&amp;$C358,Income!$B:$B,"&lt;="&amp;$D358),"na"))</f>
        <v>0</v>
      </c>
      <c r="G358" s="173">
        <f t="shared" si="258"/>
        <v>0</v>
      </c>
      <c r="H358" s="174" t="str">
        <f t="shared" si="259"/>
        <v>na</v>
      </c>
      <c r="I358" s="174" t="str">
        <f t="shared" si="260"/>
        <v>na</v>
      </c>
      <c r="J358" s="173">
        <f t="shared" ref="J358:L358" si="360">IF(E358="","",J$5)</f>
        <v>38</v>
      </c>
      <c r="K358" s="173">
        <f t="shared" si="360"/>
        <v>300</v>
      </c>
      <c r="L358" s="173">
        <f t="shared" si="360"/>
        <v>262</v>
      </c>
      <c r="M358" s="173">
        <f>IF($D358="","",'Total &amp; Budget Targets'!$G$44)</f>
        <v>0</v>
      </c>
      <c r="N358" s="173">
        <f>IF($D358="","",'Total &amp; Budget Targets'!$G$63)</f>
        <v>0</v>
      </c>
      <c r="O358" s="173">
        <f>IF($D358="","",'Total &amp; Budget Targets'!$G$69)</f>
        <v>0</v>
      </c>
    </row>
    <row r="359" spans="1:15" ht="15.75" customHeight="1" x14ac:dyDescent="0.2">
      <c r="A359" s="165">
        <f t="shared" si="262"/>
        <v>355</v>
      </c>
      <c r="B359" s="172"/>
      <c r="C359" s="169">
        <f>IF(D358="","",IF(D358+1&gt;'Date Info'!$D$21,"",D358+1))</f>
        <v>56462</v>
      </c>
      <c r="D359" s="172">
        <f>IFERROR(IF(C359="","",IF(EOMONTH(C359,0)&gt;'Date Info'!$D$21,'Date Info'!$D$21,EOMONTH(C359,0))),"")</f>
        <v>56492</v>
      </c>
      <c r="E359" s="173">
        <f>IF($D359="","",IFERROR(SUMIFS(Expenses!$E:$E,Expenses!$B:$B,"&gt;="&amp;$C359,Expenses!$B:$B,"&lt;="&amp;$D359),"na"))</f>
        <v>0</v>
      </c>
      <c r="F359" s="173">
        <f>IF($D359="","",IFERROR(SUMIFS(Income!$D:$D,Income!$B:$B,"&gt;="&amp;$C359,Income!$B:$B,"&lt;="&amp;$D359),"na"))</f>
        <v>0</v>
      </c>
      <c r="G359" s="173">
        <f t="shared" si="258"/>
        <v>0</v>
      </c>
      <c r="H359" s="174" t="str">
        <f t="shared" si="259"/>
        <v>na</v>
      </c>
      <c r="I359" s="174" t="str">
        <f t="shared" si="260"/>
        <v>na</v>
      </c>
      <c r="J359" s="173">
        <f t="shared" ref="J359:L359" si="361">IF(E359="","",J$5)</f>
        <v>38</v>
      </c>
      <c r="K359" s="173">
        <f t="shared" si="361"/>
        <v>300</v>
      </c>
      <c r="L359" s="173">
        <f t="shared" si="361"/>
        <v>262</v>
      </c>
      <c r="M359" s="173">
        <f>IF($D359="","",'Total &amp; Budget Targets'!$G$44)</f>
        <v>0</v>
      </c>
      <c r="N359" s="173">
        <f>IF($D359="","",'Total &amp; Budget Targets'!$G$63)</f>
        <v>0</v>
      </c>
      <c r="O359" s="173">
        <f>IF($D359="","",'Total &amp; Budget Targets'!$G$69)</f>
        <v>0</v>
      </c>
    </row>
    <row r="360" spans="1:15" ht="15.75" customHeight="1" x14ac:dyDescent="0.2">
      <c r="A360" s="165">
        <f t="shared" si="262"/>
        <v>356</v>
      </c>
      <c r="B360" s="172"/>
      <c r="C360" s="169">
        <f>IF(D359="","",IF(D359+1&gt;'Date Info'!$D$21,"",D359+1))</f>
        <v>56493</v>
      </c>
      <c r="D360" s="172">
        <f>IFERROR(IF(C360="","",IF(EOMONTH(C360,0)&gt;'Date Info'!$D$21,'Date Info'!$D$21,EOMONTH(C360,0))),"")</f>
        <v>56522</v>
      </c>
      <c r="E360" s="173">
        <f>IF($D360="","",IFERROR(SUMIFS(Expenses!$E:$E,Expenses!$B:$B,"&gt;="&amp;$C360,Expenses!$B:$B,"&lt;="&amp;$D360),"na"))</f>
        <v>0</v>
      </c>
      <c r="F360" s="173">
        <f>IF($D360="","",IFERROR(SUMIFS(Income!$D:$D,Income!$B:$B,"&gt;="&amp;$C360,Income!$B:$B,"&lt;="&amp;$D360),"na"))</f>
        <v>0</v>
      </c>
      <c r="G360" s="173">
        <f t="shared" si="258"/>
        <v>0</v>
      </c>
      <c r="H360" s="174" t="str">
        <f t="shared" si="259"/>
        <v>na</v>
      </c>
      <c r="I360" s="174" t="str">
        <f t="shared" si="260"/>
        <v>na</v>
      </c>
      <c r="J360" s="173">
        <f t="shared" ref="J360:L360" si="362">IF(E360="","",J$5)</f>
        <v>38</v>
      </c>
      <c r="K360" s="173">
        <f t="shared" si="362"/>
        <v>300</v>
      </c>
      <c r="L360" s="173">
        <f t="shared" si="362"/>
        <v>262</v>
      </c>
      <c r="M360" s="173">
        <f>IF($D360="","",'Total &amp; Budget Targets'!$G$44)</f>
        <v>0</v>
      </c>
      <c r="N360" s="173">
        <f>IF($D360="","",'Total &amp; Budget Targets'!$G$63)</f>
        <v>0</v>
      </c>
      <c r="O360" s="173">
        <f>IF($D360="","",'Total &amp; Budget Targets'!$G$69)</f>
        <v>0</v>
      </c>
    </row>
    <row r="361" spans="1:15" ht="15.75" customHeight="1" x14ac:dyDescent="0.2">
      <c r="A361" s="165">
        <f t="shared" si="262"/>
        <v>357</v>
      </c>
      <c r="B361" s="172"/>
      <c r="C361" s="169">
        <f>IF(D360="","",IF(D360+1&gt;'Date Info'!$D$21,"",D360+1))</f>
        <v>56523</v>
      </c>
      <c r="D361" s="172">
        <f>IFERROR(IF(C361="","",IF(EOMONTH(C361,0)&gt;'Date Info'!$D$21,'Date Info'!$D$21,EOMONTH(C361,0))),"")</f>
        <v>56553</v>
      </c>
      <c r="E361" s="173">
        <f>IF($D361="","",IFERROR(SUMIFS(Expenses!$E:$E,Expenses!$B:$B,"&gt;="&amp;$C361,Expenses!$B:$B,"&lt;="&amp;$D361),"na"))</f>
        <v>0</v>
      </c>
      <c r="F361" s="173">
        <f>IF($D361="","",IFERROR(SUMIFS(Income!$D:$D,Income!$B:$B,"&gt;="&amp;$C361,Income!$B:$B,"&lt;="&amp;$D361),"na"))</f>
        <v>0</v>
      </c>
      <c r="G361" s="173">
        <f t="shared" si="258"/>
        <v>0</v>
      </c>
      <c r="H361" s="174" t="str">
        <f t="shared" si="259"/>
        <v>na</v>
      </c>
      <c r="I361" s="174" t="str">
        <f t="shared" si="260"/>
        <v>na</v>
      </c>
      <c r="J361" s="173">
        <f t="shared" ref="J361:L361" si="363">IF(E361="","",J$5)</f>
        <v>38</v>
      </c>
      <c r="K361" s="173">
        <f t="shared" si="363"/>
        <v>300</v>
      </c>
      <c r="L361" s="173">
        <f t="shared" si="363"/>
        <v>262</v>
      </c>
      <c r="M361" s="173">
        <f>IF($D361="","",'Total &amp; Budget Targets'!$G$44)</f>
        <v>0</v>
      </c>
      <c r="N361" s="173">
        <f>IF($D361="","",'Total &amp; Budget Targets'!$G$63)</f>
        <v>0</v>
      </c>
      <c r="O361" s="173">
        <f>IF($D361="","",'Total &amp; Budget Targets'!$G$69)</f>
        <v>0</v>
      </c>
    </row>
    <row r="362" spans="1:15" ht="15.75" customHeight="1" x14ac:dyDescent="0.2">
      <c r="A362" s="165">
        <f t="shared" si="262"/>
        <v>358</v>
      </c>
      <c r="B362" s="172"/>
      <c r="C362" s="169">
        <f>IF(D361="","",IF(D361+1&gt;'Date Info'!$D$21,"",D361+1))</f>
        <v>56554</v>
      </c>
      <c r="D362" s="172">
        <f>IFERROR(IF(C362="","",IF(EOMONTH(C362,0)&gt;'Date Info'!$D$21,'Date Info'!$D$21,EOMONTH(C362,0))),"")</f>
        <v>56583</v>
      </c>
      <c r="E362" s="173">
        <f>IF($D362="","",IFERROR(SUMIFS(Expenses!$E:$E,Expenses!$B:$B,"&gt;="&amp;$C362,Expenses!$B:$B,"&lt;="&amp;$D362),"na"))</f>
        <v>0</v>
      </c>
      <c r="F362" s="173">
        <f>IF($D362="","",IFERROR(SUMIFS(Income!$D:$D,Income!$B:$B,"&gt;="&amp;$C362,Income!$B:$B,"&lt;="&amp;$D362),"na"))</f>
        <v>0</v>
      </c>
      <c r="G362" s="173">
        <f t="shared" si="258"/>
        <v>0</v>
      </c>
      <c r="H362" s="174" t="str">
        <f t="shared" si="259"/>
        <v>na</v>
      </c>
      <c r="I362" s="174" t="str">
        <f t="shared" si="260"/>
        <v>na</v>
      </c>
      <c r="J362" s="173">
        <f t="shared" ref="J362:L362" si="364">IF(E362="","",J$5)</f>
        <v>38</v>
      </c>
      <c r="K362" s="173">
        <f t="shared" si="364"/>
        <v>300</v>
      </c>
      <c r="L362" s="173">
        <f t="shared" si="364"/>
        <v>262</v>
      </c>
      <c r="M362" s="173">
        <f>IF($D362="","",'Total &amp; Budget Targets'!$G$44)</f>
        <v>0</v>
      </c>
      <c r="N362" s="173">
        <f>IF($D362="","",'Total &amp; Budget Targets'!$G$63)</f>
        <v>0</v>
      </c>
      <c r="O362" s="173">
        <f>IF($D362="","",'Total &amp; Budget Targets'!$G$69)</f>
        <v>0</v>
      </c>
    </row>
    <row r="363" spans="1:15" ht="15.75" customHeight="1" x14ac:dyDescent="0.2">
      <c r="A363" s="165">
        <f t="shared" si="262"/>
        <v>359</v>
      </c>
      <c r="B363" s="172"/>
      <c r="C363" s="169">
        <f>IF(D362="","",IF(D362+1&gt;'Date Info'!$D$21,"",D362+1))</f>
        <v>56584</v>
      </c>
      <c r="D363" s="172">
        <f>IFERROR(IF(C363="","",IF(EOMONTH(C363,0)&gt;'Date Info'!$D$21,'Date Info'!$D$21,EOMONTH(C363,0))),"")</f>
        <v>56614</v>
      </c>
      <c r="E363" s="173">
        <f>IF($D363="","",IFERROR(SUMIFS(Expenses!$E:$E,Expenses!$B:$B,"&gt;="&amp;$C363,Expenses!$B:$B,"&lt;="&amp;$D363),"na"))</f>
        <v>0</v>
      </c>
      <c r="F363" s="173">
        <f>IF($D363="","",IFERROR(SUMIFS(Income!$D:$D,Income!$B:$B,"&gt;="&amp;$C363,Income!$B:$B,"&lt;="&amp;$D363),"na"))</f>
        <v>0</v>
      </c>
      <c r="G363" s="173">
        <f t="shared" si="258"/>
        <v>0</v>
      </c>
      <c r="H363" s="174" t="str">
        <f t="shared" si="259"/>
        <v>na</v>
      </c>
      <c r="I363" s="174" t="str">
        <f t="shared" si="260"/>
        <v>na</v>
      </c>
      <c r="J363" s="173">
        <f t="shared" ref="J363:L363" si="365">IF(E363="","",J$5)</f>
        <v>38</v>
      </c>
      <c r="K363" s="173">
        <f t="shared" si="365"/>
        <v>300</v>
      </c>
      <c r="L363" s="173">
        <f t="shared" si="365"/>
        <v>262</v>
      </c>
      <c r="M363" s="173">
        <f>IF($D363="","",'Total &amp; Budget Targets'!$G$44)</f>
        <v>0</v>
      </c>
      <c r="N363" s="173">
        <f>IF($D363="","",'Total &amp; Budget Targets'!$G$63)</f>
        <v>0</v>
      </c>
      <c r="O363" s="173">
        <f>IF($D363="","",'Total &amp; Budget Targets'!$G$69)</f>
        <v>0</v>
      </c>
    </row>
    <row r="364" spans="1:15" ht="15.75" customHeight="1" x14ac:dyDescent="0.2">
      <c r="A364" s="165">
        <f t="shared" si="262"/>
        <v>360</v>
      </c>
      <c r="B364" s="172"/>
      <c r="C364" s="169">
        <f>IF(D363="","",IF(D363+1&gt;'Date Info'!$D$21,"",D363+1))</f>
        <v>56615</v>
      </c>
      <c r="D364" s="172">
        <f>IFERROR(IF(C364="","",IF(EOMONTH(C364,0)&gt;'Date Info'!$D$21,'Date Info'!$D$21,EOMONTH(C364,0))),"")</f>
        <v>56645</v>
      </c>
      <c r="E364" s="173">
        <f>IF($D364="","",IFERROR(SUMIFS(Expenses!$E:$E,Expenses!$B:$B,"&gt;="&amp;$C364,Expenses!$B:$B,"&lt;="&amp;$D364),"na"))</f>
        <v>0</v>
      </c>
      <c r="F364" s="173">
        <f>IF($D364="","",IFERROR(SUMIFS(Income!$D:$D,Income!$B:$B,"&gt;="&amp;$C364,Income!$B:$B,"&lt;="&amp;$D364),"na"))</f>
        <v>0</v>
      </c>
      <c r="G364" s="173">
        <f t="shared" si="258"/>
        <v>0</v>
      </c>
      <c r="H364" s="174" t="str">
        <f t="shared" si="259"/>
        <v>na</v>
      </c>
      <c r="I364" s="174" t="str">
        <f t="shared" si="260"/>
        <v>na</v>
      </c>
      <c r="J364" s="173">
        <f t="shared" ref="J364:L364" si="366">IF(E364="","",J$5)</f>
        <v>38</v>
      </c>
      <c r="K364" s="173">
        <f t="shared" si="366"/>
        <v>300</v>
      </c>
      <c r="L364" s="173">
        <f t="shared" si="366"/>
        <v>262</v>
      </c>
      <c r="M364" s="173">
        <f>IF($D364="","",'Total &amp; Budget Targets'!$G$44)</f>
        <v>0</v>
      </c>
      <c r="N364" s="173">
        <f>IF($D364="","",'Total &amp; Budget Targets'!$G$63)</f>
        <v>0</v>
      </c>
      <c r="O364" s="173">
        <f>IF($D364="","",'Total &amp; Budget Targets'!$G$69)</f>
        <v>0</v>
      </c>
    </row>
    <row r="365" spans="1:15" ht="15.75" customHeight="1" x14ac:dyDescent="0.2">
      <c r="A365" s="165">
        <f t="shared" si="262"/>
        <v>361</v>
      </c>
      <c r="B365" s="172"/>
      <c r="C365" s="169">
        <f>IF(D364="","",IF(D364+1&gt;'Date Info'!$D$21,"",D364+1))</f>
        <v>56646</v>
      </c>
      <c r="D365" s="172">
        <f>IFERROR(IF(C365="","",IF(EOMONTH(C365,0)&gt;'Date Info'!$D$21,'Date Info'!$D$21,EOMONTH(C365,0))),"")</f>
        <v>56673</v>
      </c>
      <c r="E365" s="173">
        <f>IF($D365="","",IFERROR(SUMIFS(Expenses!$E:$E,Expenses!$B:$B,"&gt;="&amp;$C365,Expenses!$B:$B,"&lt;="&amp;$D365),"na"))</f>
        <v>0</v>
      </c>
      <c r="F365" s="173">
        <f>IF($D365="","",IFERROR(SUMIFS(Income!$D:$D,Income!$B:$B,"&gt;="&amp;$C365,Income!$B:$B,"&lt;="&amp;$D365),"na"))</f>
        <v>0</v>
      </c>
      <c r="G365" s="173">
        <f t="shared" si="258"/>
        <v>0</v>
      </c>
      <c r="H365" s="174" t="str">
        <f t="shared" si="259"/>
        <v>na</v>
      </c>
      <c r="I365" s="174" t="str">
        <f t="shared" si="260"/>
        <v>na</v>
      </c>
      <c r="J365" s="173">
        <f t="shared" ref="J365:L365" si="367">IF(E365="","",J$5)</f>
        <v>38</v>
      </c>
      <c r="K365" s="173">
        <f t="shared" si="367"/>
        <v>300</v>
      </c>
      <c r="L365" s="173">
        <f t="shared" si="367"/>
        <v>262</v>
      </c>
      <c r="M365" s="173">
        <f>IF($D365="","",'Total &amp; Budget Targets'!$G$44)</f>
        <v>0</v>
      </c>
      <c r="N365" s="173">
        <f>IF($D365="","",'Total &amp; Budget Targets'!$G$63)</f>
        <v>0</v>
      </c>
      <c r="O365" s="173">
        <f>IF($D365="","",'Total &amp; Budget Targets'!$G$69)</f>
        <v>0</v>
      </c>
    </row>
    <row r="366" spans="1:15" ht="15.75" customHeight="1" x14ac:dyDescent="0.2">
      <c r="A366" s="165">
        <f t="shared" si="262"/>
        <v>362</v>
      </c>
      <c r="B366" s="172"/>
      <c r="C366" s="169">
        <f>IF(D365="","",IF(D365+1&gt;'Date Info'!$D$21,"",D365+1))</f>
        <v>56674</v>
      </c>
      <c r="D366" s="172">
        <f>IFERROR(IF(C366="","",IF(EOMONTH(C366,0)&gt;'Date Info'!$D$21,'Date Info'!$D$21,EOMONTH(C366,0))),"")</f>
        <v>56704</v>
      </c>
      <c r="E366" s="173">
        <f>IF($D366="","",IFERROR(SUMIFS(Expenses!$E:$E,Expenses!$B:$B,"&gt;="&amp;$C366,Expenses!$B:$B,"&lt;="&amp;$D366),"na"))</f>
        <v>0</v>
      </c>
      <c r="F366" s="173">
        <f>IF($D366="","",IFERROR(SUMIFS(Income!$D:$D,Income!$B:$B,"&gt;="&amp;$C366,Income!$B:$B,"&lt;="&amp;$D366),"na"))</f>
        <v>0</v>
      </c>
      <c r="G366" s="173">
        <f t="shared" si="258"/>
        <v>0</v>
      </c>
      <c r="H366" s="174" t="str">
        <f t="shared" si="259"/>
        <v>na</v>
      </c>
      <c r="I366" s="174" t="str">
        <f t="shared" si="260"/>
        <v>na</v>
      </c>
      <c r="J366" s="173">
        <f t="shared" ref="J366:L366" si="368">IF(E366="","",J$5)</f>
        <v>38</v>
      </c>
      <c r="K366" s="173">
        <f t="shared" si="368"/>
        <v>300</v>
      </c>
      <c r="L366" s="173">
        <f t="shared" si="368"/>
        <v>262</v>
      </c>
      <c r="M366" s="173">
        <f>IF($D366="","",'Total &amp; Budget Targets'!$G$44)</f>
        <v>0</v>
      </c>
      <c r="N366" s="173">
        <f>IF($D366="","",'Total &amp; Budget Targets'!$G$63)</f>
        <v>0</v>
      </c>
      <c r="O366" s="173">
        <f>IF($D366="","",'Total &amp; Budget Targets'!$G$69)</f>
        <v>0</v>
      </c>
    </row>
    <row r="367" spans="1:15" ht="15.75" customHeight="1" x14ac:dyDescent="0.2">
      <c r="A367" s="165">
        <f t="shared" si="262"/>
        <v>363</v>
      </c>
      <c r="B367" s="172"/>
      <c r="C367" s="169">
        <f>IF(D366="","",IF(D366+1&gt;'Date Info'!$D$21,"",D366+1))</f>
        <v>56705</v>
      </c>
      <c r="D367" s="172">
        <f>IFERROR(IF(C367="","",IF(EOMONTH(C367,0)&gt;'Date Info'!$D$21,'Date Info'!$D$21,EOMONTH(C367,0))),"")</f>
        <v>56734</v>
      </c>
      <c r="E367" s="173">
        <f>IF($D367="","",IFERROR(SUMIFS(Expenses!$E:$E,Expenses!$B:$B,"&gt;="&amp;$C367,Expenses!$B:$B,"&lt;="&amp;$D367),"na"))</f>
        <v>0</v>
      </c>
      <c r="F367" s="173">
        <f>IF($D367="","",IFERROR(SUMIFS(Income!$D:$D,Income!$B:$B,"&gt;="&amp;$C367,Income!$B:$B,"&lt;="&amp;$D367),"na"))</f>
        <v>0</v>
      </c>
      <c r="G367" s="173">
        <f t="shared" si="258"/>
        <v>0</v>
      </c>
      <c r="H367" s="174" t="str">
        <f t="shared" si="259"/>
        <v>na</v>
      </c>
      <c r="I367" s="174" t="str">
        <f t="shared" si="260"/>
        <v>na</v>
      </c>
      <c r="J367" s="173">
        <f t="shared" ref="J367:L367" si="369">IF(E367="","",J$5)</f>
        <v>38</v>
      </c>
      <c r="K367" s="173">
        <f t="shared" si="369"/>
        <v>300</v>
      </c>
      <c r="L367" s="173">
        <f t="shared" si="369"/>
        <v>262</v>
      </c>
      <c r="M367" s="173">
        <f>IF($D367="","",'Total &amp; Budget Targets'!$G$44)</f>
        <v>0</v>
      </c>
      <c r="N367" s="173">
        <f>IF($D367="","",'Total &amp; Budget Targets'!$G$63)</f>
        <v>0</v>
      </c>
      <c r="O367" s="173">
        <f>IF($D367="","",'Total &amp; Budget Targets'!$G$69)</f>
        <v>0</v>
      </c>
    </row>
    <row r="368" spans="1:15" ht="15.75" customHeight="1" x14ac:dyDescent="0.2">
      <c r="A368" s="165">
        <f t="shared" si="262"/>
        <v>364</v>
      </c>
      <c r="B368" s="172"/>
      <c r="C368" s="169">
        <f>IF(D367="","",IF(D367+1&gt;'Date Info'!$D$21,"",D367+1))</f>
        <v>56735</v>
      </c>
      <c r="D368" s="172">
        <f>IFERROR(IF(C368="","",IF(EOMONTH(C368,0)&gt;'Date Info'!$D$21,'Date Info'!$D$21,EOMONTH(C368,0))),"")</f>
        <v>56765</v>
      </c>
      <c r="E368" s="173">
        <f>IF($D368="","",IFERROR(SUMIFS(Expenses!$E:$E,Expenses!$B:$B,"&gt;="&amp;$C368,Expenses!$B:$B,"&lt;="&amp;$D368),"na"))</f>
        <v>0</v>
      </c>
      <c r="F368" s="173">
        <f>IF($D368="","",IFERROR(SUMIFS(Income!$D:$D,Income!$B:$B,"&gt;="&amp;$C368,Income!$B:$B,"&lt;="&amp;$D368),"na"))</f>
        <v>0</v>
      </c>
      <c r="G368" s="173">
        <f t="shared" si="258"/>
        <v>0</v>
      </c>
      <c r="H368" s="174" t="str">
        <f t="shared" si="259"/>
        <v>na</v>
      </c>
      <c r="I368" s="174" t="str">
        <f t="shared" si="260"/>
        <v>na</v>
      </c>
      <c r="J368" s="173">
        <f t="shared" ref="J368:L368" si="370">IF(E368="","",J$5)</f>
        <v>38</v>
      </c>
      <c r="K368" s="173">
        <f t="shared" si="370"/>
        <v>300</v>
      </c>
      <c r="L368" s="173">
        <f t="shared" si="370"/>
        <v>262</v>
      </c>
      <c r="M368" s="173">
        <f>IF($D368="","",'Total &amp; Budget Targets'!$G$44)</f>
        <v>0</v>
      </c>
      <c r="N368" s="173">
        <f>IF($D368="","",'Total &amp; Budget Targets'!$G$63)</f>
        <v>0</v>
      </c>
      <c r="O368" s="173">
        <f>IF($D368="","",'Total &amp; Budget Targets'!$G$69)</f>
        <v>0</v>
      </c>
    </row>
    <row r="369" spans="1:15" ht="15.75" customHeight="1" x14ac:dyDescent="0.2">
      <c r="A369" s="165">
        <f t="shared" si="262"/>
        <v>365</v>
      </c>
      <c r="B369" s="172"/>
      <c r="C369" s="169">
        <f>IF(D368="","",IF(D368+1&gt;'Date Info'!$D$21,"",D368+1))</f>
        <v>56766</v>
      </c>
      <c r="D369" s="172">
        <f>IFERROR(IF(C369="","",IF(EOMONTH(C369,0)&gt;'Date Info'!$D$21,'Date Info'!$D$21,EOMONTH(C369,0))),"")</f>
        <v>56795</v>
      </c>
      <c r="E369" s="173">
        <f>IF($D369="","",IFERROR(SUMIFS(Expenses!$E:$E,Expenses!$B:$B,"&gt;="&amp;$C369,Expenses!$B:$B,"&lt;="&amp;$D369),"na"))</f>
        <v>0</v>
      </c>
      <c r="F369" s="173">
        <f>IF($D369="","",IFERROR(SUMIFS(Income!$D:$D,Income!$B:$B,"&gt;="&amp;$C369,Income!$B:$B,"&lt;="&amp;$D369),"na"))</f>
        <v>0</v>
      </c>
      <c r="G369" s="173">
        <f t="shared" si="258"/>
        <v>0</v>
      </c>
      <c r="H369" s="174" t="str">
        <f t="shared" si="259"/>
        <v>na</v>
      </c>
      <c r="I369" s="174" t="str">
        <f t="shared" si="260"/>
        <v>na</v>
      </c>
      <c r="J369" s="173">
        <f t="shared" ref="J369:L369" si="371">IF(E369="","",J$5)</f>
        <v>38</v>
      </c>
      <c r="K369" s="173">
        <f t="shared" si="371"/>
        <v>300</v>
      </c>
      <c r="L369" s="173">
        <f t="shared" si="371"/>
        <v>262</v>
      </c>
      <c r="M369" s="173">
        <f>IF($D369="","",'Total &amp; Budget Targets'!$G$44)</f>
        <v>0</v>
      </c>
      <c r="N369" s="173">
        <f>IF($D369="","",'Total &amp; Budget Targets'!$G$63)</f>
        <v>0</v>
      </c>
      <c r="O369" s="173">
        <f>IF($D369="","",'Total &amp; Budget Targets'!$G$69)</f>
        <v>0</v>
      </c>
    </row>
    <row r="370" spans="1:15" ht="15.75" customHeight="1" x14ac:dyDescent="0.2">
      <c r="A370" s="165">
        <f t="shared" si="262"/>
        <v>366</v>
      </c>
      <c r="B370" s="172"/>
      <c r="C370" s="169">
        <f>IF(D369="","",IF(D369+1&gt;'Date Info'!$D$21,"",D369+1))</f>
        <v>56796</v>
      </c>
      <c r="D370" s="172">
        <f>IFERROR(IF(C370="","",IF(EOMONTH(C370,0)&gt;'Date Info'!$D$21,'Date Info'!$D$21,EOMONTH(C370,0))),"")</f>
        <v>56826</v>
      </c>
      <c r="E370" s="173">
        <f>IF($D370="","",IFERROR(SUMIFS(Expenses!$E:$E,Expenses!$B:$B,"&gt;="&amp;$C370,Expenses!$B:$B,"&lt;="&amp;$D370),"na"))</f>
        <v>0</v>
      </c>
      <c r="F370" s="173">
        <f>IF($D370="","",IFERROR(SUMIFS(Income!$D:$D,Income!$B:$B,"&gt;="&amp;$C370,Income!$B:$B,"&lt;="&amp;$D370),"na"))</f>
        <v>0</v>
      </c>
      <c r="G370" s="173">
        <f t="shared" si="258"/>
        <v>0</v>
      </c>
      <c r="H370" s="174" t="str">
        <f t="shared" si="259"/>
        <v>na</v>
      </c>
      <c r="I370" s="174" t="str">
        <f t="shared" si="260"/>
        <v>na</v>
      </c>
      <c r="J370" s="173">
        <f t="shared" ref="J370:L370" si="372">IF(E370="","",J$5)</f>
        <v>38</v>
      </c>
      <c r="K370" s="173">
        <f t="shared" si="372"/>
        <v>300</v>
      </c>
      <c r="L370" s="173">
        <f t="shared" si="372"/>
        <v>262</v>
      </c>
      <c r="M370" s="173">
        <f>IF($D370="","",'Total &amp; Budget Targets'!$G$44)</f>
        <v>0</v>
      </c>
      <c r="N370" s="173">
        <f>IF($D370="","",'Total &amp; Budget Targets'!$G$63)</f>
        <v>0</v>
      </c>
      <c r="O370" s="173">
        <f>IF($D370="","",'Total &amp; Budget Targets'!$G$69)</f>
        <v>0</v>
      </c>
    </row>
    <row r="371" spans="1:15" ht="15.75" customHeight="1" x14ac:dyDescent="0.2">
      <c r="A371" s="165">
        <f t="shared" si="262"/>
        <v>367</v>
      </c>
      <c r="B371" s="172"/>
      <c r="C371" s="169">
        <f>IF(D370="","",IF(D370+1&gt;'Date Info'!$D$21,"",D370+1))</f>
        <v>56827</v>
      </c>
      <c r="D371" s="172">
        <f>IFERROR(IF(C371="","",IF(EOMONTH(C371,0)&gt;'Date Info'!$D$21,'Date Info'!$D$21,EOMONTH(C371,0))),"")</f>
        <v>56857</v>
      </c>
      <c r="E371" s="173">
        <f>IF($D371="","",IFERROR(SUMIFS(Expenses!$E:$E,Expenses!$B:$B,"&gt;="&amp;$C371,Expenses!$B:$B,"&lt;="&amp;$D371),"na"))</f>
        <v>0</v>
      </c>
      <c r="F371" s="173">
        <f>IF($D371="","",IFERROR(SUMIFS(Income!$D:$D,Income!$B:$B,"&gt;="&amp;$C371,Income!$B:$B,"&lt;="&amp;$D371),"na"))</f>
        <v>0</v>
      </c>
      <c r="G371" s="173">
        <f t="shared" si="258"/>
        <v>0</v>
      </c>
      <c r="H371" s="174" t="str">
        <f t="shared" si="259"/>
        <v>na</v>
      </c>
      <c r="I371" s="174" t="str">
        <f t="shared" si="260"/>
        <v>na</v>
      </c>
      <c r="J371" s="173">
        <f t="shared" ref="J371:L371" si="373">IF(E371="","",J$5)</f>
        <v>38</v>
      </c>
      <c r="K371" s="173">
        <f t="shared" si="373"/>
        <v>300</v>
      </c>
      <c r="L371" s="173">
        <f t="shared" si="373"/>
        <v>262</v>
      </c>
      <c r="M371" s="173">
        <f>IF($D371="","",'Total &amp; Budget Targets'!$G$44)</f>
        <v>0</v>
      </c>
      <c r="N371" s="173">
        <f>IF($D371="","",'Total &amp; Budget Targets'!$G$63)</f>
        <v>0</v>
      </c>
      <c r="O371" s="173">
        <f>IF($D371="","",'Total &amp; Budget Targets'!$G$69)</f>
        <v>0</v>
      </c>
    </row>
    <row r="372" spans="1:15" ht="15.75" customHeight="1" x14ac:dyDescent="0.2">
      <c r="A372" s="165">
        <f t="shared" si="262"/>
        <v>368</v>
      </c>
      <c r="B372" s="172"/>
      <c r="C372" s="169">
        <f>IF(D371="","",IF(D371+1&gt;'Date Info'!$D$21,"",D371+1))</f>
        <v>56858</v>
      </c>
      <c r="D372" s="172">
        <f>IFERROR(IF(C372="","",IF(EOMONTH(C372,0)&gt;'Date Info'!$D$21,'Date Info'!$D$21,EOMONTH(C372,0))),"")</f>
        <v>56887</v>
      </c>
      <c r="E372" s="173">
        <f>IF($D372="","",IFERROR(SUMIFS(Expenses!$E:$E,Expenses!$B:$B,"&gt;="&amp;$C372,Expenses!$B:$B,"&lt;="&amp;$D372),"na"))</f>
        <v>0</v>
      </c>
      <c r="F372" s="173">
        <f>IF($D372="","",IFERROR(SUMIFS(Income!$D:$D,Income!$B:$B,"&gt;="&amp;$C372,Income!$B:$B,"&lt;="&amp;$D372),"na"))</f>
        <v>0</v>
      </c>
      <c r="G372" s="173">
        <f t="shared" si="258"/>
        <v>0</v>
      </c>
      <c r="H372" s="174" t="str">
        <f t="shared" si="259"/>
        <v>na</v>
      </c>
      <c r="I372" s="174" t="str">
        <f t="shared" si="260"/>
        <v>na</v>
      </c>
      <c r="J372" s="173">
        <f t="shared" ref="J372:L372" si="374">IF(E372="","",J$5)</f>
        <v>38</v>
      </c>
      <c r="K372" s="173">
        <f t="shared" si="374"/>
        <v>300</v>
      </c>
      <c r="L372" s="173">
        <f t="shared" si="374"/>
        <v>262</v>
      </c>
      <c r="M372" s="173">
        <f>IF($D372="","",'Total &amp; Budget Targets'!$G$44)</f>
        <v>0</v>
      </c>
      <c r="N372" s="173">
        <f>IF($D372="","",'Total &amp; Budget Targets'!$G$63)</f>
        <v>0</v>
      </c>
      <c r="O372" s="173">
        <f>IF($D372="","",'Total &amp; Budget Targets'!$G$69)</f>
        <v>0</v>
      </c>
    </row>
    <row r="373" spans="1:15" ht="15.75" customHeight="1" x14ac:dyDescent="0.2">
      <c r="A373" s="165">
        <f t="shared" si="262"/>
        <v>369</v>
      </c>
      <c r="B373" s="172"/>
      <c r="C373" s="169">
        <f>IF(D372="","",IF(D372+1&gt;'Date Info'!$D$21,"",D372+1))</f>
        <v>56888</v>
      </c>
      <c r="D373" s="172">
        <f>IFERROR(IF(C373="","",IF(EOMONTH(C373,0)&gt;'Date Info'!$D$21,'Date Info'!$D$21,EOMONTH(C373,0))),"")</f>
        <v>56918</v>
      </c>
      <c r="E373" s="173">
        <f>IF($D373="","",IFERROR(SUMIFS(Expenses!$E:$E,Expenses!$B:$B,"&gt;="&amp;$C373,Expenses!$B:$B,"&lt;="&amp;$D373),"na"))</f>
        <v>0</v>
      </c>
      <c r="F373" s="173">
        <f>IF($D373="","",IFERROR(SUMIFS(Income!$D:$D,Income!$B:$B,"&gt;="&amp;$C373,Income!$B:$B,"&lt;="&amp;$D373),"na"))</f>
        <v>0</v>
      </c>
      <c r="G373" s="173">
        <f t="shared" si="258"/>
        <v>0</v>
      </c>
      <c r="H373" s="174" t="str">
        <f t="shared" si="259"/>
        <v>na</v>
      </c>
      <c r="I373" s="174" t="str">
        <f t="shared" si="260"/>
        <v>na</v>
      </c>
      <c r="J373" s="173">
        <f t="shared" ref="J373:L373" si="375">IF(E373="","",J$5)</f>
        <v>38</v>
      </c>
      <c r="K373" s="173">
        <f t="shared" si="375"/>
        <v>300</v>
      </c>
      <c r="L373" s="173">
        <f t="shared" si="375"/>
        <v>262</v>
      </c>
      <c r="M373" s="173">
        <f>IF($D373="","",'Total &amp; Budget Targets'!$G$44)</f>
        <v>0</v>
      </c>
      <c r="N373" s="173">
        <f>IF($D373="","",'Total &amp; Budget Targets'!$G$63)</f>
        <v>0</v>
      </c>
      <c r="O373" s="173">
        <f>IF($D373="","",'Total &amp; Budget Targets'!$G$69)</f>
        <v>0</v>
      </c>
    </row>
    <row r="374" spans="1:15" ht="15.75" customHeight="1" x14ac:dyDescent="0.2">
      <c r="A374" s="165">
        <f t="shared" si="262"/>
        <v>370</v>
      </c>
      <c r="B374" s="172"/>
      <c r="C374" s="169">
        <f>IF(D373="","",IF(D373+1&gt;'Date Info'!$D$21,"",D373+1))</f>
        <v>56919</v>
      </c>
      <c r="D374" s="172">
        <f>IFERROR(IF(C374="","",IF(EOMONTH(C374,0)&gt;'Date Info'!$D$21,'Date Info'!$D$21,EOMONTH(C374,0))),"")</f>
        <v>56948</v>
      </c>
      <c r="E374" s="173">
        <f>IF($D374="","",IFERROR(SUMIFS(Expenses!$E:$E,Expenses!$B:$B,"&gt;="&amp;$C374,Expenses!$B:$B,"&lt;="&amp;$D374),"na"))</f>
        <v>0</v>
      </c>
      <c r="F374" s="173">
        <f>IF($D374="","",IFERROR(SUMIFS(Income!$D:$D,Income!$B:$B,"&gt;="&amp;$C374,Income!$B:$B,"&lt;="&amp;$D374),"na"))</f>
        <v>0</v>
      </c>
      <c r="G374" s="173">
        <f t="shared" si="258"/>
        <v>0</v>
      </c>
      <c r="H374" s="174" t="str">
        <f t="shared" si="259"/>
        <v>na</v>
      </c>
      <c r="I374" s="174" t="str">
        <f t="shared" si="260"/>
        <v>na</v>
      </c>
      <c r="J374" s="173">
        <f t="shared" ref="J374:L374" si="376">IF(E374="","",J$5)</f>
        <v>38</v>
      </c>
      <c r="K374" s="173">
        <f t="shared" si="376"/>
        <v>300</v>
      </c>
      <c r="L374" s="173">
        <f t="shared" si="376"/>
        <v>262</v>
      </c>
      <c r="M374" s="173">
        <f>IF($D374="","",'Total &amp; Budget Targets'!$G$44)</f>
        <v>0</v>
      </c>
      <c r="N374" s="173">
        <f>IF($D374="","",'Total &amp; Budget Targets'!$G$63)</f>
        <v>0</v>
      </c>
      <c r="O374" s="173">
        <f>IF($D374="","",'Total &amp; Budget Targets'!$G$69)</f>
        <v>0</v>
      </c>
    </row>
    <row r="375" spans="1:15" ht="15.75" customHeight="1" x14ac:dyDescent="0.2">
      <c r="A375" s="165">
        <f t="shared" si="262"/>
        <v>371</v>
      </c>
      <c r="B375" s="172"/>
      <c r="C375" s="169">
        <f>IF(D374="","",IF(D374+1&gt;'Date Info'!$D$21,"",D374+1))</f>
        <v>56949</v>
      </c>
      <c r="D375" s="172">
        <f>IFERROR(IF(C375="","",IF(EOMONTH(C375,0)&gt;'Date Info'!$D$21,'Date Info'!$D$21,EOMONTH(C375,0))),"")</f>
        <v>56979</v>
      </c>
      <c r="E375" s="173">
        <f>IF($D375="","",IFERROR(SUMIFS(Expenses!$E:$E,Expenses!$B:$B,"&gt;="&amp;$C375,Expenses!$B:$B,"&lt;="&amp;$D375),"na"))</f>
        <v>0</v>
      </c>
      <c r="F375" s="173">
        <f>IF($D375="","",IFERROR(SUMIFS(Income!$D:$D,Income!$B:$B,"&gt;="&amp;$C375,Income!$B:$B,"&lt;="&amp;$D375),"na"))</f>
        <v>0</v>
      </c>
      <c r="G375" s="173">
        <f t="shared" si="258"/>
        <v>0</v>
      </c>
      <c r="H375" s="174" t="str">
        <f t="shared" si="259"/>
        <v>na</v>
      </c>
      <c r="I375" s="174" t="str">
        <f t="shared" si="260"/>
        <v>na</v>
      </c>
      <c r="J375" s="173">
        <f t="shared" ref="J375:L375" si="377">IF(E375="","",J$5)</f>
        <v>38</v>
      </c>
      <c r="K375" s="173">
        <f t="shared" si="377"/>
        <v>300</v>
      </c>
      <c r="L375" s="173">
        <f t="shared" si="377"/>
        <v>262</v>
      </c>
      <c r="M375" s="173">
        <f>IF($D375="","",'Total &amp; Budget Targets'!$G$44)</f>
        <v>0</v>
      </c>
      <c r="N375" s="173">
        <f>IF($D375="","",'Total &amp; Budget Targets'!$G$63)</f>
        <v>0</v>
      </c>
      <c r="O375" s="173">
        <f>IF($D375="","",'Total &amp; Budget Targets'!$G$69)</f>
        <v>0</v>
      </c>
    </row>
    <row r="376" spans="1:15" ht="15.75" customHeight="1" x14ac:dyDescent="0.2">
      <c r="A376" s="165">
        <f t="shared" si="262"/>
        <v>372</v>
      </c>
      <c r="B376" s="172"/>
      <c r="C376" s="169">
        <f>IF(D375="","",IF(D375+1&gt;'Date Info'!$D$21,"",D375+1))</f>
        <v>56980</v>
      </c>
      <c r="D376" s="172">
        <f>IFERROR(IF(C376="","",IF(EOMONTH(C376,0)&gt;'Date Info'!$D$21,'Date Info'!$D$21,EOMONTH(C376,0))),"")</f>
        <v>57010</v>
      </c>
      <c r="E376" s="173">
        <f>IF($D376="","",IFERROR(SUMIFS(Expenses!$E:$E,Expenses!$B:$B,"&gt;="&amp;$C376,Expenses!$B:$B,"&lt;="&amp;$D376),"na"))</f>
        <v>0</v>
      </c>
      <c r="F376" s="173">
        <f>IF($D376="","",IFERROR(SUMIFS(Income!$D:$D,Income!$B:$B,"&gt;="&amp;$C376,Income!$B:$B,"&lt;="&amp;$D376),"na"))</f>
        <v>0</v>
      </c>
      <c r="G376" s="173">
        <f t="shared" si="258"/>
        <v>0</v>
      </c>
      <c r="H376" s="174" t="str">
        <f t="shared" si="259"/>
        <v>na</v>
      </c>
      <c r="I376" s="174" t="str">
        <f t="shared" si="260"/>
        <v>na</v>
      </c>
      <c r="J376" s="173">
        <f t="shared" ref="J376:L376" si="378">IF(E376="","",J$5)</f>
        <v>38</v>
      </c>
      <c r="K376" s="173">
        <f t="shared" si="378"/>
        <v>300</v>
      </c>
      <c r="L376" s="173">
        <f t="shared" si="378"/>
        <v>262</v>
      </c>
      <c r="M376" s="173">
        <f>IF($D376="","",'Total &amp; Budget Targets'!$G$44)</f>
        <v>0</v>
      </c>
      <c r="N376" s="173">
        <f>IF($D376="","",'Total &amp; Budget Targets'!$G$63)</f>
        <v>0</v>
      </c>
      <c r="O376" s="173">
        <f>IF($D376="","",'Total &amp; Budget Targets'!$G$69)</f>
        <v>0</v>
      </c>
    </row>
    <row r="377" spans="1:15" ht="15.75" customHeight="1" x14ac:dyDescent="0.2">
      <c r="A377" s="165">
        <f t="shared" si="262"/>
        <v>373</v>
      </c>
      <c r="B377" s="172"/>
      <c r="C377" s="169">
        <f>IF(D376="","",IF(D376+1&gt;'Date Info'!$D$21,"",D376+1))</f>
        <v>57011</v>
      </c>
      <c r="D377" s="172">
        <f>IFERROR(IF(C377="","",IF(EOMONTH(C377,0)&gt;'Date Info'!$D$21,'Date Info'!$D$21,EOMONTH(C377,0))),"")</f>
        <v>57039</v>
      </c>
      <c r="E377" s="173">
        <f>IF($D377="","",IFERROR(SUMIFS(Expenses!$E:$E,Expenses!$B:$B,"&gt;="&amp;$C377,Expenses!$B:$B,"&lt;="&amp;$D377),"na"))</f>
        <v>0</v>
      </c>
      <c r="F377" s="173">
        <f>IF($D377="","",IFERROR(SUMIFS(Income!$D:$D,Income!$B:$B,"&gt;="&amp;$C377,Income!$B:$B,"&lt;="&amp;$D377),"na"))</f>
        <v>0</v>
      </c>
      <c r="G377" s="173">
        <f t="shared" si="258"/>
        <v>0</v>
      </c>
      <c r="H377" s="174" t="str">
        <f t="shared" si="259"/>
        <v>na</v>
      </c>
      <c r="I377" s="174" t="str">
        <f t="shared" si="260"/>
        <v>na</v>
      </c>
      <c r="J377" s="173">
        <f t="shared" ref="J377:L377" si="379">IF(E377="","",J$5)</f>
        <v>38</v>
      </c>
      <c r="K377" s="173">
        <f t="shared" si="379"/>
        <v>300</v>
      </c>
      <c r="L377" s="173">
        <f t="shared" si="379"/>
        <v>262</v>
      </c>
      <c r="M377" s="173">
        <f>IF($D377="","",'Total &amp; Budget Targets'!$G$44)</f>
        <v>0</v>
      </c>
      <c r="N377" s="173">
        <f>IF($D377="","",'Total &amp; Budget Targets'!$G$63)</f>
        <v>0</v>
      </c>
      <c r="O377" s="173">
        <f>IF($D377="","",'Total &amp; Budget Targets'!$G$69)</f>
        <v>0</v>
      </c>
    </row>
    <row r="378" spans="1:15" ht="15.75" customHeight="1" x14ac:dyDescent="0.2">
      <c r="A378" s="165">
        <f t="shared" si="262"/>
        <v>374</v>
      </c>
      <c r="B378" s="172"/>
      <c r="C378" s="169">
        <f>IF(D377="","",IF(D377+1&gt;'Date Info'!$D$21,"",D377+1))</f>
        <v>57040</v>
      </c>
      <c r="D378" s="172">
        <f>IFERROR(IF(C378="","",IF(EOMONTH(C378,0)&gt;'Date Info'!$D$21,'Date Info'!$D$21,EOMONTH(C378,0))),"")</f>
        <v>57070</v>
      </c>
      <c r="E378" s="173">
        <f>IF($D378="","",IFERROR(SUMIFS(Expenses!$E:$E,Expenses!$B:$B,"&gt;="&amp;$C378,Expenses!$B:$B,"&lt;="&amp;$D378),"na"))</f>
        <v>0</v>
      </c>
      <c r="F378" s="173">
        <f>IF($D378="","",IFERROR(SUMIFS(Income!$D:$D,Income!$B:$B,"&gt;="&amp;$C378,Income!$B:$B,"&lt;="&amp;$D378),"na"))</f>
        <v>0</v>
      </c>
      <c r="G378" s="173">
        <f t="shared" si="258"/>
        <v>0</v>
      </c>
      <c r="H378" s="174" t="str">
        <f t="shared" si="259"/>
        <v>na</v>
      </c>
      <c r="I378" s="174" t="str">
        <f t="shared" si="260"/>
        <v>na</v>
      </c>
      <c r="J378" s="173">
        <f t="shared" ref="J378:L378" si="380">IF(E378="","",J$5)</f>
        <v>38</v>
      </c>
      <c r="K378" s="173">
        <f t="shared" si="380"/>
        <v>300</v>
      </c>
      <c r="L378" s="173">
        <f t="shared" si="380"/>
        <v>262</v>
      </c>
      <c r="M378" s="173">
        <f>IF($D378="","",'Total &amp; Budget Targets'!$G$44)</f>
        <v>0</v>
      </c>
      <c r="N378" s="173">
        <f>IF($D378="","",'Total &amp; Budget Targets'!$G$63)</f>
        <v>0</v>
      </c>
      <c r="O378" s="173">
        <f>IF($D378="","",'Total &amp; Budget Targets'!$G$69)</f>
        <v>0</v>
      </c>
    </row>
    <row r="379" spans="1:15" ht="15.75" customHeight="1" x14ac:dyDescent="0.2">
      <c r="A379" s="165">
        <f t="shared" si="262"/>
        <v>375</v>
      </c>
      <c r="B379" s="172"/>
      <c r="C379" s="169">
        <f>IF(D378="","",IF(D378+1&gt;'Date Info'!$D$21,"",D378+1))</f>
        <v>57071</v>
      </c>
      <c r="D379" s="172">
        <f>IFERROR(IF(C379="","",IF(EOMONTH(C379,0)&gt;'Date Info'!$D$21,'Date Info'!$D$21,EOMONTH(C379,0))),"")</f>
        <v>57100</v>
      </c>
      <c r="E379" s="173">
        <f>IF($D379="","",IFERROR(SUMIFS(Expenses!$E:$E,Expenses!$B:$B,"&gt;="&amp;$C379,Expenses!$B:$B,"&lt;="&amp;$D379),"na"))</f>
        <v>0</v>
      </c>
      <c r="F379" s="173">
        <f>IF($D379="","",IFERROR(SUMIFS(Income!$D:$D,Income!$B:$B,"&gt;="&amp;$C379,Income!$B:$B,"&lt;="&amp;$D379),"na"))</f>
        <v>0</v>
      </c>
      <c r="G379" s="173">
        <f t="shared" si="258"/>
        <v>0</v>
      </c>
      <c r="H379" s="174" t="str">
        <f t="shared" si="259"/>
        <v>na</v>
      </c>
      <c r="I379" s="174" t="str">
        <f t="shared" si="260"/>
        <v>na</v>
      </c>
      <c r="J379" s="173">
        <f t="shared" ref="J379:L379" si="381">IF(E379="","",J$5)</f>
        <v>38</v>
      </c>
      <c r="K379" s="173">
        <f t="shared" si="381"/>
        <v>300</v>
      </c>
      <c r="L379" s="173">
        <f t="shared" si="381"/>
        <v>262</v>
      </c>
      <c r="M379" s="173">
        <f>IF($D379="","",'Total &amp; Budget Targets'!$G$44)</f>
        <v>0</v>
      </c>
      <c r="N379" s="173">
        <f>IF($D379="","",'Total &amp; Budget Targets'!$G$63)</f>
        <v>0</v>
      </c>
      <c r="O379" s="173">
        <f>IF($D379="","",'Total &amp; Budget Targets'!$G$69)</f>
        <v>0</v>
      </c>
    </row>
    <row r="380" spans="1:15" ht="15.75" customHeight="1" x14ac:dyDescent="0.2">
      <c r="A380" s="165">
        <f t="shared" si="262"/>
        <v>376</v>
      </c>
      <c r="B380" s="172"/>
      <c r="C380" s="169">
        <f>IF(D379="","",IF(D379+1&gt;'Date Info'!$D$21,"",D379+1))</f>
        <v>57101</v>
      </c>
      <c r="D380" s="172">
        <f>IFERROR(IF(C380="","",IF(EOMONTH(C380,0)&gt;'Date Info'!$D$21,'Date Info'!$D$21,EOMONTH(C380,0))),"")</f>
        <v>57131</v>
      </c>
      <c r="E380" s="173">
        <f>IF($D380="","",IFERROR(SUMIFS(Expenses!$E:$E,Expenses!$B:$B,"&gt;="&amp;$C380,Expenses!$B:$B,"&lt;="&amp;$D380),"na"))</f>
        <v>0</v>
      </c>
      <c r="F380" s="173">
        <f>IF($D380="","",IFERROR(SUMIFS(Income!$D:$D,Income!$B:$B,"&gt;="&amp;$C380,Income!$B:$B,"&lt;="&amp;$D380),"na"))</f>
        <v>0</v>
      </c>
      <c r="G380" s="173">
        <f t="shared" si="258"/>
        <v>0</v>
      </c>
      <c r="H380" s="174" t="str">
        <f t="shared" si="259"/>
        <v>na</v>
      </c>
      <c r="I380" s="174" t="str">
        <f t="shared" si="260"/>
        <v>na</v>
      </c>
      <c r="J380" s="173">
        <f t="shared" ref="J380:L380" si="382">IF(E380="","",J$5)</f>
        <v>38</v>
      </c>
      <c r="K380" s="173">
        <f t="shared" si="382"/>
        <v>300</v>
      </c>
      <c r="L380" s="173">
        <f t="shared" si="382"/>
        <v>262</v>
      </c>
      <c r="M380" s="173">
        <f>IF($D380="","",'Total &amp; Budget Targets'!$G$44)</f>
        <v>0</v>
      </c>
      <c r="N380" s="173">
        <f>IF($D380="","",'Total &amp; Budget Targets'!$G$63)</f>
        <v>0</v>
      </c>
      <c r="O380" s="173">
        <f>IF($D380="","",'Total &amp; Budget Targets'!$G$69)</f>
        <v>0</v>
      </c>
    </row>
    <row r="381" spans="1:15" ht="15.75" customHeight="1" x14ac:dyDescent="0.2">
      <c r="A381" s="165">
        <f t="shared" si="262"/>
        <v>377</v>
      </c>
      <c r="B381" s="172"/>
      <c r="C381" s="169">
        <f>IF(D380="","",IF(D380+1&gt;'Date Info'!$D$21,"",D380+1))</f>
        <v>57132</v>
      </c>
      <c r="D381" s="172">
        <f>IFERROR(IF(C381="","",IF(EOMONTH(C381,0)&gt;'Date Info'!$D$21,'Date Info'!$D$21,EOMONTH(C381,0))),"")</f>
        <v>57161</v>
      </c>
      <c r="E381" s="173">
        <f>IF($D381="","",IFERROR(SUMIFS(Expenses!$E:$E,Expenses!$B:$B,"&gt;="&amp;$C381,Expenses!$B:$B,"&lt;="&amp;$D381),"na"))</f>
        <v>0</v>
      </c>
      <c r="F381" s="173">
        <f>IF($D381="","",IFERROR(SUMIFS(Income!$D:$D,Income!$B:$B,"&gt;="&amp;$C381,Income!$B:$B,"&lt;="&amp;$D381),"na"))</f>
        <v>0</v>
      </c>
      <c r="G381" s="173">
        <f t="shared" si="258"/>
        <v>0</v>
      </c>
      <c r="H381" s="174" t="str">
        <f t="shared" si="259"/>
        <v>na</v>
      </c>
      <c r="I381" s="174" t="str">
        <f t="shared" si="260"/>
        <v>na</v>
      </c>
      <c r="J381" s="173">
        <f t="shared" ref="J381:L381" si="383">IF(E381="","",J$5)</f>
        <v>38</v>
      </c>
      <c r="K381" s="173">
        <f t="shared" si="383"/>
        <v>300</v>
      </c>
      <c r="L381" s="173">
        <f t="shared" si="383"/>
        <v>262</v>
      </c>
      <c r="M381" s="173">
        <f>IF($D381="","",'Total &amp; Budget Targets'!$G$44)</f>
        <v>0</v>
      </c>
      <c r="N381" s="173">
        <f>IF($D381="","",'Total &amp; Budget Targets'!$G$63)</f>
        <v>0</v>
      </c>
      <c r="O381" s="173">
        <f>IF($D381="","",'Total &amp; Budget Targets'!$G$69)</f>
        <v>0</v>
      </c>
    </row>
    <row r="382" spans="1:15" ht="15.75" customHeight="1" x14ac:dyDescent="0.2">
      <c r="A382" s="165">
        <f t="shared" si="262"/>
        <v>378</v>
      </c>
      <c r="B382" s="172"/>
      <c r="C382" s="169">
        <f>IF(D381="","",IF(D381+1&gt;'Date Info'!$D$21,"",D381+1))</f>
        <v>57162</v>
      </c>
      <c r="D382" s="172">
        <f>IFERROR(IF(C382="","",IF(EOMONTH(C382,0)&gt;'Date Info'!$D$21,'Date Info'!$D$21,EOMONTH(C382,0))),"")</f>
        <v>57192</v>
      </c>
      <c r="E382" s="173">
        <f>IF($D382="","",IFERROR(SUMIFS(Expenses!$E:$E,Expenses!$B:$B,"&gt;="&amp;$C382,Expenses!$B:$B,"&lt;="&amp;$D382),"na"))</f>
        <v>0</v>
      </c>
      <c r="F382" s="173">
        <f>IF($D382="","",IFERROR(SUMIFS(Income!$D:$D,Income!$B:$B,"&gt;="&amp;$C382,Income!$B:$B,"&lt;="&amp;$D382),"na"))</f>
        <v>0</v>
      </c>
      <c r="G382" s="173">
        <f t="shared" si="258"/>
        <v>0</v>
      </c>
      <c r="H382" s="174" t="str">
        <f t="shared" si="259"/>
        <v>na</v>
      </c>
      <c r="I382" s="174" t="str">
        <f t="shared" si="260"/>
        <v>na</v>
      </c>
      <c r="J382" s="173">
        <f t="shared" ref="J382:L382" si="384">IF(E382="","",J$5)</f>
        <v>38</v>
      </c>
      <c r="K382" s="173">
        <f t="shared" si="384"/>
        <v>300</v>
      </c>
      <c r="L382" s="173">
        <f t="shared" si="384"/>
        <v>262</v>
      </c>
      <c r="M382" s="173">
        <f>IF($D382="","",'Total &amp; Budget Targets'!$G$44)</f>
        <v>0</v>
      </c>
      <c r="N382" s="173">
        <f>IF($D382="","",'Total &amp; Budget Targets'!$G$63)</f>
        <v>0</v>
      </c>
      <c r="O382" s="173">
        <f>IF($D382="","",'Total &amp; Budget Targets'!$G$69)</f>
        <v>0</v>
      </c>
    </row>
    <row r="383" spans="1:15" ht="15.75" customHeight="1" x14ac:dyDescent="0.2">
      <c r="A383" s="165">
        <f t="shared" si="262"/>
        <v>379</v>
      </c>
      <c r="B383" s="172"/>
      <c r="C383" s="169">
        <f>IF(D382="","",IF(D382+1&gt;'Date Info'!$D$21,"",D382+1))</f>
        <v>57193</v>
      </c>
      <c r="D383" s="172">
        <f>IFERROR(IF(C383="","",IF(EOMONTH(C383,0)&gt;'Date Info'!$D$21,'Date Info'!$D$21,EOMONTH(C383,0))),"")</f>
        <v>57223</v>
      </c>
      <c r="E383" s="173">
        <f>IF($D383="","",IFERROR(SUMIFS(Expenses!$E:$E,Expenses!$B:$B,"&gt;="&amp;$C383,Expenses!$B:$B,"&lt;="&amp;$D383),"na"))</f>
        <v>0</v>
      </c>
      <c r="F383" s="173">
        <f>IF($D383="","",IFERROR(SUMIFS(Income!$D:$D,Income!$B:$B,"&gt;="&amp;$C383,Income!$B:$B,"&lt;="&amp;$D383),"na"))</f>
        <v>0</v>
      </c>
      <c r="G383" s="173">
        <f t="shared" si="258"/>
        <v>0</v>
      </c>
      <c r="H383" s="174" t="str">
        <f t="shared" si="259"/>
        <v>na</v>
      </c>
      <c r="I383" s="174" t="str">
        <f t="shared" si="260"/>
        <v>na</v>
      </c>
      <c r="J383" s="173">
        <f t="shared" ref="J383:L383" si="385">IF(E383="","",J$5)</f>
        <v>38</v>
      </c>
      <c r="K383" s="173">
        <f t="shared" si="385"/>
        <v>300</v>
      </c>
      <c r="L383" s="173">
        <f t="shared" si="385"/>
        <v>262</v>
      </c>
      <c r="M383" s="173">
        <f>IF($D383="","",'Total &amp; Budget Targets'!$G$44)</f>
        <v>0</v>
      </c>
      <c r="N383" s="173">
        <f>IF($D383="","",'Total &amp; Budget Targets'!$G$63)</f>
        <v>0</v>
      </c>
      <c r="O383" s="173">
        <f>IF($D383="","",'Total &amp; Budget Targets'!$G$69)</f>
        <v>0</v>
      </c>
    </row>
    <row r="384" spans="1:15" ht="15.75" customHeight="1" x14ac:dyDescent="0.2">
      <c r="A384" s="165">
        <f t="shared" si="262"/>
        <v>380</v>
      </c>
      <c r="B384" s="172"/>
      <c r="C384" s="169">
        <f>IF(D383="","",IF(D383+1&gt;'Date Info'!$D$21,"",D383+1))</f>
        <v>57224</v>
      </c>
      <c r="D384" s="172">
        <f>IFERROR(IF(C384="","",IF(EOMONTH(C384,0)&gt;'Date Info'!$D$21,'Date Info'!$D$21,EOMONTH(C384,0))),"")</f>
        <v>57253</v>
      </c>
      <c r="E384" s="173">
        <f>IF($D384="","",IFERROR(SUMIFS(Expenses!$E:$E,Expenses!$B:$B,"&gt;="&amp;$C384,Expenses!$B:$B,"&lt;="&amp;$D384),"na"))</f>
        <v>0</v>
      </c>
      <c r="F384" s="173">
        <f>IF($D384="","",IFERROR(SUMIFS(Income!$D:$D,Income!$B:$B,"&gt;="&amp;$C384,Income!$B:$B,"&lt;="&amp;$D384),"na"))</f>
        <v>0</v>
      </c>
      <c r="G384" s="173">
        <f t="shared" si="258"/>
        <v>0</v>
      </c>
      <c r="H384" s="174" t="str">
        <f t="shared" si="259"/>
        <v>na</v>
      </c>
      <c r="I384" s="174" t="str">
        <f t="shared" si="260"/>
        <v>na</v>
      </c>
      <c r="J384" s="173">
        <f t="shared" ref="J384:L384" si="386">IF(E384="","",J$5)</f>
        <v>38</v>
      </c>
      <c r="K384" s="173">
        <f t="shared" si="386"/>
        <v>300</v>
      </c>
      <c r="L384" s="173">
        <f t="shared" si="386"/>
        <v>262</v>
      </c>
      <c r="M384" s="173">
        <f>IF($D384="","",'Total &amp; Budget Targets'!$G$44)</f>
        <v>0</v>
      </c>
      <c r="N384" s="173">
        <f>IF($D384="","",'Total &amp; Budget Targets'!$G$63)</f>
        <v>0</v>
      </c>
      <c r="O384" s="173">
        <f>IF($D384="","",'Total &amp; Budget Targets'!$G$69)</f>
        <v>0</v>
      </c>
    </row>
    <row r="385" spans="1:15" ht="15.75" customHeight="1" x14ac:dyDescent="0.2">
      <c r="A385" s="165">
        <f t="shared" si="262"/>
        <v>381</v>
      </c>
      <c r="B385" s="172"/>
      <c r="C385" s="169">
        <f>IF(D384="","",IF(D384+1&gt;'Date Info'!$D$21,"",D384+1))</f>
        <v>57254</v>
      </c>
      <c r="D385" s="172">
        <f>IFERROR(IF(C385="","",IF(EOMONTH(C385,0)&gt;'Date Info'!$D$21,'Date Info'!$D$21,EOMONTH(C385,0))),"")</f>
        <v>57284</v>
      </c>
      <c r="E385" s="173">
        <f>IF($D385="","",IFERROR(SUMIFS(Expenses!$E:$E,Expenses!$B:$B,"&gt;="&amp;$C385,Expenses!$B:$B,"&lt;="&amp;$D385),"na"))</f>
        <v>0</v>
      </c>
      <c r="F385" s="173">
        <f>IF($D385="","",IFERROR(SUMIFS(Income!$D:$D,Income!$B:$B,"&gt;="&amp;$C385,Income!$B:$B,"&lt;="&amp;$D385),"na"))</f>
        <v>0</v>
      </c>
      <c r="G385" s="173">
        <f t="shared" si="258"/>
        <v>0</v>
      </c>
      <c r="H385" s="174" t="str">
        <f t="shared" si="259"/>
        <v>na</v>
      </c>
      <c r="I385" s="174" t="str">
        <f t="shared" si="260"/>
        <v>na</v>
      </c>
      <c r="J385" s="173">
        <f t="shared" ref="J385:L385" si="387">IF(E385="","",J$5)</f>
        <v>38</v>
      </c>
      <c r="K385" s="173">
        <f t="shared" si="387"/>
        <v>300</v>
      </c>
      <c r="L385" s="173">
        <f t="shared" si="387"/>
        <v>262</v>
      </c>
      <c r="M385" s="173">
        <f>IF($D385="","",'Total &amp; Budget Targets'!$G$44)</f>
        <v>0</v>
      </c>
      <c r="N385" s="173">
        <f>IF($D385="","",'Total &amp; Budget Targets'!$G$63)</f>
        <v>0</v>
      </c>
      <c r="O385" s="173">
        <f>IF($D385="","",'Total &amp; Budget Targets'!$G$69)</f>
        <v>0</v>
      </c>
    </row>
    <row r="386" spans="1:15" ht="15.75" customHeight="1" x14ac:dyDescent="0.2">
      <c r="A386" s="165">
        <f t="shared" si="262"/>
        <v>382</v>
      </c>
      <c r="B386" s="172"/>
      <c r="C386" s="169">
        <f>IF(D385="","",IF(D385+1&gt;'Date Info'!$D$21,"",D385+1))</f>
        <v>57285</v>
      </c>
      <c r="D386" s="172">
        <f>IFERROR(IF(C386="","",IF(EOMONTH(C386,0)&gt;'Date Info'!$D$21,'Date Info'!$D$21,EOMONTH(C386,0))),"")</f>
        <v>57314</v>
      </c>
      <c r="E386" s="173">
        <f>IF($D386="","",IFERROR(SUMIFS(Expenses!$E:$E,Expenses!$B:$B,"&gt;="&amp;$C386,Expenses!$B:$B,"&lt;="&amp;$D386),"na"))</f>
        <v>0</v>
      </c>
      <c r="F386" s="173">
        <f>IF($D386="","",IFERROR(SUMIFS(Income!$D:$D,Income!$B:$B,"&gt;="&amp;$C386,Income!$B:$B,"&lt;="&amp;$D386),"na"))</f>
        <v>0</v>
      </c>
      <c r="G386" s="173">
        <f t="shared" si="258"/>
        <v>0</v>
      </c>
      <c r="H386" s="174" t="str">
        <f t="shared" si="259"/>
        <v>na</v>
      </c>
      <c r="I386" s="174" t="str">
        <f t="shared" si="260"/>
        <v>na</v>
      </c>
      <c r="J386" s="173">
        <f t="shared" ref="J386:L386" si="388">IF(E386="","",J$5)</f>
        <v>38</v>
      </c>
      <c r="K386" s="173">
        <f t="shared" si="388"/>
        <v>300</v>
      </c>
      <c r="L386" s="173">
        <f t="shared" si="388"/>
        <v>262</v>
      </c>
      <c r="M386" s="173">
        <f>IF($D386="","",'Total &amp; Budget Targets'!$G$44)</f>
        <v>0</v>
      </c>
      <c r="N386" s="173">
        <f>IF($D386="","",'Total &amp; Budget Targets'!$G$63)</f>
        <v>0</v>
      </c>
      <c r="O386" s="173">
        <f>IF($D386="","",'Total &amp; Budget Targets'!$G$69)</f>
        <v>0</v>
      </c>
    </row>
    <row r="387" spans="1:15" ht="15.75" customHeight="1" x14ac:dyDescent="0.2">
      <c r="A387" s="165">
        <f t="shared" si="262"/>
        <v>383</v>
      </c>
      <c r="B387" s="172"/>
      <c r="C387" s="169">
        <f>IF(D386="","",IF(D386+1&gt;'Date Info'!$D$21,"",D386+1))</f>
        <v>57315</v>
      </c>
      <c r="D387" s="172">
        <f>IFERROR(IF(C387="","",IF(EOMONTH(C387,0)&gt;'Date Info'!$D$21,'Date Info'!$D$21,EOMONTH(C387,0))),"")</f>
        <v>57345</v>
      </c>
      <c r="E387" s="173">
        <f>IF($D387="","",IFERROR(SUMIFS(Expenses!$E:$E,Expenses!$B:$B,"&gt;="&amp;$C387,Expenses!$B:$B,"&lt;="&amp;$D387),"na"))</f>
        <v>0</v>
      </c>
      <c r="F387" s="173">
        <f>IF($D387="","",IFERROR(SUMIFS(Income!$D:$D,Income!$B:$B,"&gt;="&amp;$C387,Income!$B:$B,"&lt;="&amp;$D387),"na"))</f>
        <v>0</v>
      </c>
      <c r="G387" s="173">
        <f t="shared" si="258"/>
        <v>0</v>
      </c>
      <c r="H387" s="174" t="str">
        <f t="shared" si="259"/>
        <v>na</v>
      </c>
      <c r="I387" s="174" t="str">
        <f t="shared" si="260"/>
        <v>na</v>
      </c>
      <c r="J387" s="173">
        <f t="shared" ref="J387:L387" si="389">IF(E387="","",J$5)</f>
        <v>38</v>
      </c>
      <c r="K387" s="173">
        <f t="shared" si="389"/>
        <v>300</v>
      </c>
      <c r="L387" s="173">
        <f t="shared" si="389"/>
        <v>262</v>
      </c>
      <c r="M387" s="173">
        <f>IF($D387="","",'Total &amp; Budget Targets'!$G$44)</f>
        <v>0</v>
      </c>
      <c r="N387" s="173">
        <f>IF($D387="","",'Total &amp; Budget Targets'!$G$63)</f>
        <v>0</v>
      </c>
      <c r="O387" s="173">
        <f>IF($D387="","",'Total &amp; Budget Targets'!$G$69)</f>
        <v>0</v>
      </c>
    </row>
    <row r="388" spans="1:15" ht="15.75" customHeight="1" x14ac:dyDescent="0.2">
      <c r="A388" s="165">
        <f t="shared" si="262"/>
        <v>384</v>
      </c>
      <c r="B388" s="172"/>
      <c r="C388" s="169">
        <f>IF(D387="","",IF(D387+1&gt;'Date Info'!$D$21,"",D387+1))</f>
        <v>57346</v>
      </c>
      <c r="D388" s="172">
        <f>IFERROR(IF(C388="","",IF(EOMONTH(C388,0)&gt;'Date Info'!$D$21,'Date Info'!$D$21,EOMONTH(C388,0))),"")</f>
        <v>57376</v>
      </c>
      <c r="E388" s="173">
        <f>IF($D388="","",IFERROR(SUMIFS(Expenses!$E:$E,Expenses!$B:$B,"&gt;="&amp;$C388,Expenses!$B:$B,"&lt;="&amp;$D388),"na"))</f>
        <v>0</v>
      </c>
      <c r="F388" s="173">
        <f>IF($D388="","",IFERROR(SUMIFS(Income!$D:$D,Income!$B:$B,"&gt;="&amp;$C388,Income!$B:$B,"&lt;="&amp;$D388),"na"))</f>
        <v>0</v>
      </c>
      <c r="G388" s="173">
        <f t="shared" si="258"/>
        <v>0</v>
      </c>
      <c r="H388" s="174" t="str">
        <f t="shared" si="259"/>
        <v>na</v>
      </c>
      <c r="I388" s="174" t="str">
        <f t="shared" si="260"/>
        <v>na</v>
      </c>
      <c r="J388" s="173">
        <f t="shared" ref="J388:L388" si="390">IF(E388="","",J$5)</f>
        <v>38</v>
      </c>
      <c r="K388" s="173">
        <f t="shared" si="390"/>
        <v>300</v>
      </c>
      <c r="L388" s="173">
        <f t="shared" si="390"/>
        <v>262</v>
      </c>
      <c r="M388" s="173">
        <f>IF($D388="","",'Total &amp; Budget Targets'!$G$44)</f>
        <v>0</v>
      </c>
      <c r="N388" s="173">
        <f>IF($D388="","",'Total &amp; Budget Targets'!$G$63)</f>
        <v>0</v>
      </c>
      <c r="O388" s="173">
        <f>IF($D388="","",'Total &amp; Budget Targets'!$G$69)</f>
        <v>0</v>
      </c>
    </row>
    <row r="389" spans="1:15" ht="15.75" customHeight="1" x14ac:dyDescent="0.2">
      <c r="A389" s="165">
        <f t="shared" si="262"/>
        <v>385</v>
      </c>
      <c r="B389" s="172"/>
      <c r="C389" s="169">
        <f>IF(D388="","",IF(D388+1&gt;'Date Info'!$D$21,"",D388+1))</f>
        <v>57377</v>
      </c>
      <c r="D389" s="172">
        <f>IFERROR(IF(C389="","",IF(EOMONTH(C389,0)&gt;'Date Info'!$D$21,'Date Info'!$D$21,EOMONTH(C389,0))),"")</f>
        <v>57404</v>
      </c>
      <c r="E389" s="173">
        <f>IF($D389="","",IFERROR(SUMIFS(Expenses!$E:$E,Expenses!$B:$B,"&gt;="&amp;$C389,Expenses!$B:$B,"&lt;="&amp;$D389),"na"))</f>
        <v>0</v>
      </c>
      <c r="F389" s="173">
        <f>IF($D389="","",IFERROR(SUMIFS(Income!$D:$D,Income!$B:$B,"&gt;="&amp;$C389,Income!$B:$B,"&lt;="&amp;$D389),"na"))</f>
        <v>0</v>
      </c>
      <c r="G389" s="173">
        <f t="shared" si="258"/>
        <v>0</v>
      </c>
      <c r="H389" s="174" t="str">
        <f t="shared" si="259"/>
        <v>na</v>
      </c>
      <c r="I389" s="174" t="str">
        <f t="shared" si="260"/>
        <v>na</v>
      </c>
      <c r="J389" s="173">
        <f t="shared" ref="J389:L389" si="391">IF(E389="","",J$5)</f>
        <v>38</v>
      </c>
      <c r="K389" s="173">
        <f t="shared" si="391"/>
        <v>300</v>
      </c>
      <c r="L389" s="173">
        <f t="shared" si="391"/>
        <v>262</v>
      </c>
      <c r="M389" s="173">
        <f>IF($D389="","",'Total &amp; Budget Targets'!$G$44)</f>
        <v>0</v>
      </c>
      <c r="N389" s="173">
        <f>IF($D389="","",'Total &amp; Budget Targets'!$G$63)</f>
        <v>0</v>
      </c>
      <c r="O389" s="173">
        <f>IF($D389="","",'Total &amp; Budget Targets'!$G$69)</f>
        <v>0</v>
      </c>
    </row>
    <row r="390" spans="1:15" ht="15.75" customHeight="1" x14ac:dyDescent="0.2">
      <c r="A390" s="165">
        <f t="shared" si="262"/>
        <v>386</v>
      </c>
      <c r="B390" s="172"/>
      <c r="C390" s="169">
        <f>IF(D389="","",IF(D389+1&gt;'Date Info'!$D$21,"",D389+1))</f>
        <v>57405</v>
      </c>
      <c r="D390" s="172">
        <f>IFERROR(IF(C390="","",IF(EOMONTH(C390,0)&gt;'Date Info'!$D$21,'Date Info'!$D$21,EOMONTH(C390,0))),"")</f>
        <v>57435</v>
      </c>
      <c r="E390" s="173">
        <f>IF($D390="","",IFERROR(SUMIFS(Expenses!$E:$E,Expenses!$B:$B,"&gt;="&amp;$C390,Expenses!$B:$B,"&lt;="&amp;$D390),"na"))</f>
        <v>0</v>
      </c>
      <c r="F390" s="173">
        <f>IF($D390="","",IFERROR(SUMIFS(Income!$D:$D,Income!$B:$B,"&gt;="&amp;$C390,Income!$B:$B,"&lt;="&amp;$D390),"na"))</f>
        <v>0</v>
      </c>
      <c r="G390" s="173">
        <f t="shared" si="258"/>
        <v>0</v>
      </c>
      <c r="H390" s="174" t="str">
        <f t="shared" si="259"/>
        <v>na</v>
      </c>
      <c r="I390" s="174" t="str">
        <f t="shared" si="260"/>
        <v>na</v>
      </c>
      <c r="J390" s="173">
        <f t="shared" ref="J390:L390" si="392">IF(E390="","",J$5)</f>
        <v>38</v>
      </c>
      <c r="K390" s="173">
        <f t="shared" si="392"/>
        <v>300</v>
      </c>
      <c r="L390" s="173">
        <f t="shared" si="392"/>
        <v>262</v>
      </c>
      <c r="M390" s="173">
        <f>IF($D390="","",'Total &amp; Budget Targets'!$G$44)</f>
        <v>0</v>
      </c>
      <c r="N390" s="173">
        <f>IF($D390="","",'Total &amp; Budget Targets'!$G$63)</f>
        <v>0</v>
      </c>
      <c r="O390" s="173">
        <f>IF($D390="","",'Total &amp; Budget Targets'!$G$69)</f>
        <v>0</v>
      </c>
    </row>
    <row r="391" spans="1:15" ht="15.75" customHeight="1" x14ac:dyDescent="0.2">
      <c r="A391" s="165">
        <f t="shared" si="262"/>
        <v>387</v>
      </c>
      <c r="B391" s="172"/>
      <c r="C391" s="169">
        <f>IF(D390="","",IF(D390+1&gt;'Date Info'!$D$21,"",D390+1))</f>
        <v>57436</v>
      </c>
      <c r="D391" s="172">
        <f>IFERROR(IF(C391="","",IF(EOMONTH(C391,0)&gt;'Date Info'!$D$21,'Date Info'!$D$21,EOMONTH(C391,0))),"")</f>
        <v>57465</v>
      </c>
      <c r="E391" s="173">
        <f>IF($D391="","",IFERROR(SUMIFS(Expenses!$E:$E,Expenses!$B:$B,"&gt;="&amp;$C391,Expenses!$B:$B,"&lt;="&amp;$D391),"na"))</f>
        <v>0</v>
      </c>
      <c r="F391" s="173">
        <f>IF($D391="","",IFERROR(SUMIFS(Income!$D:$D,Income!$B:$B,"&gt;="&amp;$C391,Income!$B:$B,"&lt;="&amp;$D391),"na"))</f>
        <v>0</v>
      </c>
      <c r="G391" s="173">
        <f t="shared" si="258"/>
        <v>0</v>
      </c>
      <c r="H391" s="174" t="str">
        <f t="shared" si="259"/>
        <v>na</v>
      </c>
      <c r="I391" s="174" t="str">
        <f t="shared" si="260"/>
        <v>na</v>
      </c>
      <c r="J391" s="173">
        <f t="shared" ref="J391:L391" si="393">IF(E391="","",J$5)</f>
        <v>38</v>
      </c>
      <c r="K391" s="173">
        <f t="shared" si="393"/>
        <v>300</v>
      </c>
      <c r="L391" s="173">
        <f t="shared" si="393"/>
        <v>262</v>
      </c>
      <c r="M391" s="173">
        <f>IF($D391="","",'Total &amp; Budget Targets'!$G$44)</f>
        <v>0</v>
      </c>
      <c r="N391" s="173">
        <f>IF($D391="","",'Total &amp; Budget Targets'!$G$63)</f>
        <v>0</v>
      </c>
      <c r="O391" s="173">
        <f>IF($D391="","",'Total &amp; Budget Targets'!$G$69)</f>
        <v>0</v>
      </c>
    </row>
    <row r="392" spans="1:15" ht="15.75" customHeight="1" x14ac:dyDescent="0.2">
      <c r="A392" s="165">
        <f t="shared" si="262"/>
        <v>388</v>
      </c>
      <c r="B392" s="172"/>
      <c r="C392" s="169">
        <f>IF(D391="","",IF(D391+1&gt;'Date Info'!$D$21,"",D391+1))</f>
        <v>57466</v>
      </c>
      <c r="D392" s="172">
        <f>IFERROR(IF(C392="","",IF(EOMONTH(C392,0)&gt;'Date Info'!$D$21,'Date Info'!$D$21,EOMONTH(C392,0))),"")</f>
        <v>57496</v>
      </c>
      <c r="E392" s="173">
        <f>IF($D392="","",IFERROR(SUMIFS(Expenses!$E:$E,Expenses!$B:$B,"&gt;="&amp;$C392,Expenses!$B:$B,"&lt;="&amp;$D392),"na"))</f>
        <v>0</v>
      </c>
      <c r="F392" s="173">
        <f>IF($D392="","",IFERROR(SUMIFS(Income!$D:$D,Income!$B:$B,"&gt;="&amp;$C392,Income!$B:$B,"&lt;="&amp;$D392),"na"))</f>
        <v>0</v>
      </c>
      <c r="G392" s="173">
        <f t="shared" si="258"/>
        <v>0</v>
      </c>
      <c r="H392" s="174" t="str">
        <f t="shared" si="259"/>
        <v>na</v>
      </c>
      <c r="I392" s="174" t="str">
        <f t="shared" si="260"/>
        <v>na</v>
      </c>
      <c r="J392" s="173">
        <f t="shared" ref="J392:L392" si="394">IF(E392="","",J$5)</f>
        <v>38</v>
      </c>
      <c r="K392" s="173">
        <f t="shared" si="394"/>
        <v>300</v>
      </c>
      <c r="L392" s="173">
        <f t="shared" si="394"/>
        <v>262</v>
      </c>
      <c r="M392" s="173">
        <f>IF($D392="","",'Total &amp; Budget Targets'!$G$44)</f>
        <v>0</v>
      </c>
      <c r="N392" s="173">
        <f>IF($D392="","",'Total &amp; Budget Targets'!$G$63)</f>
        <v>0</v>
      </c>
      <c r="O392" s="173">
        <f>IF($D392="","",'Total &amp; Budget Targets'!$G$69)</f>
        <v>0</v>
      </c>
    </row>
    <row r="393" spans="1:15" ht="15.75" customHeight="1" x14ac:dyDescent="0.2">
      <c r="A393" s="165">
        <f t="shared" si="262"/>
        <v>389</v>
      </c>
      <c r="B393" s="172"/>
      <c r="C393" s="169">
        <f>IF(D392="","",IF(D392+1&gt;'Date Info'!$D$21,"",D392+1))</f>
        <v>57497</v>
      </c>
      <c r="D393" s="172">
        <f>IFERROR(IF(C393="","",IF(EOMONTH(C393,0)&gt;'Date Info'!$D$21,'Date Info'!$D$21,EOMONTH(C393,0))),"")</f>
        <v>57526</v>
      </c>
      <c r="E393" s="173">
        <f>IF($D393="","",IFERROR(SUMIFS(Expenses!$E:$E,Expenses!$B:$B,"&gt;="&amp;$C393,Expenses!$B:$B,"&lt;="&amp;$D393),"na"))</f>
        <v>0</v>
      </c>
      <c r="F393" s="173">
        <f>IF($D393="","",IFERROR(SUMIFS(Income!$D:$D,Income!$B:$B,"&gt;="&amp;$C393,Income!$B:$B,"&lt;="&amp;$D393),"na"))</f>
        <v>0</v>
      </c>
      <c r="G393" s="173">
        <f t="shared" si="258"/>
        <v>0</v>
      </c>
      <c r="H393" s="174" t="str">
        <f t="shared" si="259"/>
        <v>na</v>
      </c>
      <c r="I393" s="174" t="str">
        <f t="shared" si="260"/>
        <v>na</v>
      </c>
      <c r="J393" s="173">
        <f t="shared" ref="J393:L393" si="395">IF(E393="","",J$5)</f>
        <v>38</v>
      </c>
      <c r="K393" s="173">
        <f t="shared" si="395"/>
        <v>300</v>
      </c>
      <c r="L393" s="173">
        <f t="shared" si="395"/>
        <v>262</v>
      </c>
      <c r="M393" s="173">
        <f>IF($D393="","",'Total &amp; Budget Targets'!$G$44)</f>
        <v>0</v>
      </c>
      <c r="N393" s="173">
        <f>IF($D393="","",'Total &amp; Budget Targets'!$G$63)</f>
        <v>0</v>
      </c>
      <c r="O393" s="173">
        <f>IF($D393="","",'Total &amp; Budget Targets'!$G$69)</f>
        <v>0</v>
      </c>
    </row>
    <row r="394" spans="1:15" ht="15.75" customHeight="1" x14ac:dyDescent="0.2">
      <c r="A394" s="165">
        <f t="shared" si="262"/>
        <v>390</v>
      </c>
      <c r="B394" s="172"/>
      <c r="C394" s="169">
        <f>IF(D393="","",IF(D393+1&gt;'Date Info'!$D$21,"",D393+1))</f>
        <v>57527</v>
      </c>
      <c r="D394" s="172">
        <f>IFERROR(IF(C394="","",IF(EOMONTH(C394,0)&gt;'Date Info'!$D$21,'Date Info'!$D$21,EOMONTH(C394,0))),"")</f>
        <v>57557</v>
      </c>
      <c r="E394" s="173">
        <f>IF($D394="","",IFERROR(SUMIFS(Expenses!$E:$E,Expenses!$B:$B,"&gt;="&amp;$C394,Expenses!$B:$B,"&lt;="&amp;$D394),"na"))</f>
        <v>0</v>
      </c>
      <c r="F394" s="173">
        <f>IF($D394="","",IFERROR(SUMIFS(Income!$D:$D,Income!$B:$B,"&gt;="&amp;$C394,Income!$B:$B,"&lt;="&amp;$D394),"na"))</f>
        <v>0</v>
      </c>
      <c r="G394" s="173">
        <f t="shared" si="258"/>
        <v>0</v>
      </c>
      <c r="H394" s="174" t="str">
        <f t="shared" si="259"/>
        <v>na</v>
      </c>
      <c r="I394" s="174" t="str">
        <f t="shared" si="260"/>
        <v>na</v>
      </c>
      <c r="J394" s="173">
        <f t="shared" ref="J394:L394" si="396">IF(E394="","",J$5)</f>
        <v>38</v>
      </c>
      <c r="K394" s="173">
        <f t="shared" si="396"/>
        <v>300</v>
      </c>
      <c r="L394" s="173">
        <f t="shared" si="396"/>
        <v>262</v>
      </c>
      <c r="M394" s="173">
        <f>IF($D394="","",'Total &amp; Budget Targets'!$G$44)</f>
        <v>0</v>
      </c>
      <c r="N394" s="173">
        <f>IF($D394="","",'Total &amp; Budget Targets'!$G$63)</f>
        <v>0</v>
      </c>
      <c r="O394" s="173">
        <f>IF($D394="","",'Total &amp; Budget Targets'!$G$69)</f>
        <v>0</v>
      </c>
    </row>
    <row r="395" spans="1:15" ht="15.75" customHeight="1" x14ac:dyDescent="0.2">
      <c r="A395" s="165">
        <f t="shared" si="262"/>
        <v>391</v>
      </c>
      <c r="B395" s="172"/>
      <c r="C395" s="169">
        <f>IF(D394="","",IF(D394+1&gt;'Date Info'!$D$21,"",D394+1))</f>
        <v>57558</v>
      </c>
      <c r="D395" s="172">
        <f>IFERROR(IF(C395="","",IF(EOMONTH(C395,0)&gt;'Date Info'!$D$21,'Date Info'!$D$21,EOMONTH(C395,0))),"")</f>
        <v>57588</v>
      </c>
      <c r="E395" s="173">
        <f>IF($D395="","",IFERROR(SUMIFS(Expenses!$E:$E,Expenses!$B:$B,"&gt;="&amp;$C395,Expenses!$B:$B,"&lt;="&amp;$D395),"na"))</f>
        <v>0</v>
      </c>
      <c r="F395" s="173">
        <f>IF($D395="","",IFERROR(SUMIFS(Income!$D:$D,Income!$B:$B,"&gt;="&amp;$C395,Income!$B:$B,"&lt;="&amp;$D395),"na"))</f>
        <v>0</v>
      </c>
      <c r="G395" s="173">
        <f t="shared" si="258"/>
        <v>0</v>
      </c>
      <c r="H395" s="174" t="str">
        <f t="shared" si="259"/>
        <v>na</v>
      </c>
      <c r="I395" s="174" t="str">
        <f t="shared" si="260"/>
        <v>na</v>
      </c>
      <c r="J395" s="173">
        <f t="shared" ref="J395:L395" si="397">IF(E395="","",J$5)</f>
        <v>38</v>
      </c>
      <c r="K395" s="173">
        <f t="shared" si="397"/>
        <v>300</v>
      </c>
      <c r="L395" s="173">
        <f t="shared" si="397"/>
        <v>262</v>
      </c>
      <c r="M395" s="173">
        <f>IF($D395="","",'Total &amp; Budget Targets'!$G$44)</f>
        <v>0</v>
      </c>
      <c r="N395" s="173">
        <f>IF($D395="","",'Total &amp; Budget Targets'!$G$63)</f>
        <v>0</v>
      </c>
      <c r="O395" s="173">
        <f>IF($D395="","",'Total &amp; Budget Targets'!$G$69)</f>
        <v>0</v>
      </c>
    </row>
    <row r="396" spans="1:15" ht="15.75" customHeight="1" x14ac:dyDescent="0.2">
      <c r="A396" s="165">
        <f t="shared" si="262"/>
        <v>392</v>
      </c>
      <c r="B396" s="172"/>
      <c r="C396" s="169">
        <f>IF(D395="","",IF(D395+1&gt;'Date Info'!$D$21,"",D395+1))</f>
        <v>57589</v>
      </c>
      <c r="D396" s="172">
        <f>IFERROR(IF(C396="","",IF(EOMONTH(C396,0)&gt;'Date Info'!$D$21,'Date Info'!$D$21,EOMONTH(C396,0))),"")</f>
        <v>57618</v>
      </c>
      <c r="E396" s="173">
        <f>IF($D396="","",IFERROR(SUMIFS(Expenses!$E:$E,Expenses!$B:$B,"&gt;="&amp;$C396,Expenses!$B:$B,"&lt;="&amp;$D396),"na"))</f>
        <v>0</v>
      </c>
      <c r="F396" s="173">
        <f>IF($D396="","",IFERROR(SUMIFS(Income!$D:$D,Income!$B:$B,"&gt;="&amp;$C396,Income!$B:$B,"&lt;="&amp;$D396),"na"))</f>
        <v>0</v>
      </c>
      <c r="G396" s="173">
        <f t="shared" si="258"/>
        <v>0</v>
      </c>
      <c r="H396" s="174" t="str">
        <f t="shared" si="259"/>
        <v>na</v>
      </c>
      <c r="I396" s="174" t="str">
        <f t="shared" si="260"/>
        <v>na</v>
      </c>
      <c r="J396" s="173">
        <f t="shared" ref="J396:L396" si="398">IF(E396="","",J$5)</f>
        <v>38</v>
      </c>
      <c r="K396" s="173">
        <f t="shared" si="398"/>
        <v>300</v>
      </c>
      <c r="L396" s="173">
        <f t="shared" si="398"/>
        <v>262</v>
      </c>
      <c r="M396" s="173">
        <f>IF($D396="","",'Total &amp; Budget Targets'!$G$44)</f>
        <v>0</v>
      </c>
      <c r="N396" s="173">
        <f>IF($D396="","",'Total &amp; Budget Targets'!$G$63)</f>
        <v>0</v>
      </c>
      <c r="O396" s="173">
        <f>IF($D396="","",'Total &amp; Budget Targets'!$G$69)</f>
        <v>0</v>
      </c>
    </row>
    <row r="397" spans="1:15" ht="15.75" customHeight="1" x14ac:dyDescent="0.2">
      <c r="A397" s="165">
        <f t="shared" si="262"/>
        <v>393</v>
      </c>
      <c r="B397" s="172"/>
      <c r="C397" s="169">
        <f>IF(D396="","",IF(D396+1&gt;'Date Info'!$D$21,"",D396+1))</f>
        <v>57619</v>
      </c>
      <c r="D397" s="172">
        <f>IFERROR(IF(C397="","",IF(EOMONTH(C397,0)&gt;'Date Info'!$D$21,'Date Info'!$D$21,EOMONTH(C397,0))),"")</f>
        <v>57649</v>
      </c>
      <c r="E397" s="173">
        <f>IF($D397="","",IFERROR(SUMIFS(Expenses!$E:$E,Expenses!$B:$B,"&gt;="&amp;$C397,Expenses!$B:$B,"&lt;="&amp;$D397),"na"))</f>
        <v>0</v>
      </c>
      <c r="F397" s="173">
        <f>IF($D397="","",IFERROR(SUMIFS(Income!$D:$D,Income!$B:$B,"&gt;="&amp;$C397,Income!$B:$B,"&lt;="&amp;$D397),"na"))</f>
        <v>0</v>
      </c>
      <c r="G397" s="173">
        <f t="shared" si="258"/>
        <v>0</v>
      </c>
      <c r="H397" s="174" t="str">
        <f t="shared" si="259"/>
        <v>na</v>
      </c>
      <c r="I397" s="174" t="str">
        <f t="shared" si="260"/>
        <v>na</v>
      </c>
      <c r="J397" s="173">
        <f t="shared" ref="J397:L397" si="399">IF(E397="","",J$5)</f>
        <v>38</v>
      </c>
      <c r="K397" s="173">
        <f t="shared" si="399"/>
        <v>300</v>
      </c>
      <c r="L397" s="173">
        <f t="shared" si="399"/>
        <v>262</v>
      </c>
      <c r="M397" s="173">
        <f>IF($D397="","",'Total &amp; Budget Targets'!$G$44)</f>
        <v>0</v>
      </c>
      <c r="N397" s="173">
        <f>IF($D397="","",'Total &amp; Budget Targets'!$G$63)</f>
        <v>0</v>
      </c>
      <c r="O397" s="173">
        <f>IF($D397="","",'Total &amp; Budget Targets'!$G$69)</f>
        <v>0</v>
      </c>
    </row>
    <row r="398" spans="1:15" ht="15.75" customHeight="1" x14ac:dyDescent="0.2">
      <c r="A398" s="165">
        <f t="shared" si="262"/>
        <v>394</v>
      </c>
      <c r="B398" s="172"/>
      <c r="C398" s="169">
        <f>IF(D397="","",IF(D397+1&gt;'Date Info'!$D$21,"",D397+1))</f>
        <v>57650</v>
      </c>
      <c r="D398" s="172">
        <f>IFERROR(IF(C398="","",IF(EOMONTH(C398,0)&gt;'Date Info'!$D$21,'Date Info'!$D$21,EOMONTH(C398,0))),"")</f>
        <v>57679</v>
      </c>
      <c r="E398" s="173">
        <f>IF($D398="","",IFERROR(SUMIFS(Expenses!$E:$E,Expenses!$B:$B,"&gt;="&amp;$C398,Expenses!$B:$B,"&lt;="&amp;$D398),"na"))</f>
        <v>0</v>
      </c>
      <c r="F398" s="173">
        <f>IF($D398="","",IFERROR(SUMIFS(Income!$D:$D,Income!$B:$B,"&gt;="&amp;$C398,Income!$B:$B,"&lt;="&amp;$D398),"na"))</f>
        <v>0</v>
      </c>
      <c r="G398" s="173">
        <f t="shared" si="258"/>
        <v>0</v>
      </c>
      <c r="H398" s="174" t="str">
        <f t="shared" si="259"/>
        <v>na</v>
      </c>
      <c r="I398" s="174" t="str">
        <f t="shared" si="260"/>
        <v>na</v>
      </c>
      <c r="J398" s="173">
        <f t="shared" ref="J398:L398" si="400">IF(E398="","",J$5)</f>
        <v>38</v>
      </c>
      <c r="K398" s="173">
        <f t="shared" si="400"/>
        <v>300</v>
      </c>
      <c r="L398" s="173">
        <f t="shared" si="400"/>
        <v>262</v>
      </c>
      <c r="M398" s="173">
        <f>IF($D398="","",'Total &amp; Budget Targets'!$G$44)</f>
        <v>0</v>
      </c>
      <c r="N398" s="173">
        <f>IF($D398="","",'Total &amp; Budget Targets'!$G$63)</f>
        <v>0</v>
      </c>
      <c r="O398" s="173">
        <f>IF($D398="","",'Total &amp; Budget Targets'!$G$69)</f>
        <v>0</v>
      </c>
    </row>
    <row r="399" spans="1:15" ht="15.75" customHeight="1" x14ac:dyDescent="0.2">
      <c r="A399" s="165">
        <f t="shared" si="262"/>
        <v>395</v>
      </c>
      <c r="B399" s="172"/>
      <c r="C399" s="169">
        <f>IF(D398="","",IF(D398+1&gt;'Date Info'!$D$21,"",D398+1))</f>
        <v>57680</v>
      </c>
      <c r="D399" s="172">
        <f>IFERROR(IF(C399="","",IF(EOMONTH(C399,0)&gt;'Date Info'!$D$21,'Date Info'!$D$21,EOMONTH(C399,0))),"")</f>
        <v>57710</v>
      </c>
      <c r="E399" s="173">
        <f>IF($D399="","",IFERROR(SUMIFS(Expenses!$E:$E,Expenses!$B:$B,"&gt;="&amp;$C399,Expenses!$B:$B,"&lt;="&amp;$D399),"na"))</f>
        <v>0</v>
      </c>
      <c r="F399" s="173">
        <f>IF($D399="","",IFERROR(SUMIFS(Income!$D:$D,Income!$B:$B,"&gt;="&amp;$C399,Income!$B:$B,"&lt;="&amp;$D399),"na"))</f>
        <v>0</v>
      </c>
      <c r="G399" s="173">
        <f t="shared" si="258"/>
        <v>0</v>
      </c>
      <c r="H399" s="174" t="str">
        <f t="shared" si="259"/>
        <v>na</v>
      </c>
      <c r="I399" s="174" t="str">
        <f t="shared" si="260"/>
        <v>na</v>
      </c>
      <c r="J399" s="173">
        <f t="shared" ref="J399:L399" si="401">IF(E399="","",J$5)</f>
        <v>38</v>
      </c>
      <c r="K399" s="173">
        <f t="shared" si="401"/>
        <v>300</v>
      </c>
      <c r="L399" s="173">
        <f t="shared" si="401"/>
        <v>262</v>
      </c>
      <c r="M399" s="173">
        <f>IF($D399="","",'Total &amp; Budget Targets'!$G$44)</f>
        <v>0</v>
      </c>
      <c r="N399" s="173">
        <f>IF($D399="","",'Total &amp; Budget Targets'!$G$63)</f>
        <v>0</v>
      </c>
      <c r="O399" s="173">
        <f>IF($D399="","",'Total &amp; Budget Targets'!$G$69)</f>
        <v>0</v>
      </c>
    </row>
    <row r="400" spans="1:15" ht="15.75" customHeight="1" x14ac:dyDescent="0.2">
      <c r="A400" s="165">
        <f t="shared" si="262"/>
        <v>396</v>
      </c>
      <c r="B400" s="172"/>
      <c r="C400" s="169">
        <f>IF(D399="","",IF(D399+1&gt;'Date Info'!$D$21,"",D399+1))</f>
        <v>57711</v>
      </c>
      <c r="D400" s="172">
        <f>IFERROR(IF(C400="","",IF(EOMONTH(C400,0)&gt;'Date Info'!$D$21,'Date Info'!$D$21,EOMONTH(C400,0))),"")</f>
        <v>57741</v>
      </c>
      <c r="E400" s="173">
        <f>IF($D400="","",IFERROR(SUMIFS(Expenses!$E:$E,Expenses!$B:$B,"&gt;="&amp;$C400,Expenses!$B:$B,"&lt;="&amp;$D400),"na"))</f>
        <v>0</v>
      </c>
      <c r="F400" s="173">
        <f>IF($D400="","",IFERROR(SUMIFS(Income!$D:$D,Income!$B:$B,"&gt;="&amp;$C400,Income!$B:$B,"&lt;="&amp;$D400),"na"))</f>
        <v>0</v>
      </c>
      <c r="G400" s="173">
        <f t="shared" si="258"/>
        <v>0</v>
      </c>
      <c r="H400" s="174" t="str">
        <f t="shared" si="259"/>
        <v>na</v>
      </c>
      <c r="I400" s="174" t="str">
        <f t="shared" si="260"/>
        <v>na</v>
      </c>
      <c r="J400" s="173">
        <f t="shared" ref="J400:L400" si="402">IF(E400="","",J$5)</f>
        <v>38</v>
      </c>
      <c r="K400" s="173">
        <f t="shared" si="402"/>
        <v>300</v>
      </c>
      <c r="L400" s="173">
        <f t="shared" si="402"/>
        <v>262</v>
      </c>
      <c r="M400" s="173">
        <f>IF($D400="","",'Total &amp; Budget Targets'!$G$44)</f>
        <v>0</v>
      </c>
      <c r="N400" s="173">
        <f>IF($D400="","",'Total &amp; Budget Targets'!$G$63)</f>
        <v>0</v>
      </c>
      <c r="O400" s="173">
        <f>IF($D400="","",'Total &amp; Budget Targets'!$G$69)</f>
        <v>0</v>
      </c>
    </row>
    <row r="401" spans="1:15" ht="15.75" customHeight="1" x14ac:dyDescent="0.2">
      <c r="A401" s="165">
        <f t="shared" si="262"/>
        <v>397</v>
      </c>
      <c r="B401" s="172"/>
      <c r="C401" s="169">
        <f>IF(D400="","",IF(D400+1&gt;'Date Info'!$D$21,"",D400+1))</f>
        <v>57742</v>
      </c>
      <c r="D401" s="172">
        <f>IFERROR(IF(C401="","",IF(EOMONTH(C401,0)&gt;'Date Info'!$D$21,'Date Info'!$D$21,EOMONTH(C401,0))),"")</f>
        <v>57769</v>
      </c>
      <c r="E401" s="173">
        <f>IF($D401="","",IFERROR(SUMIFS(Expenses!$E:$E,Expenses!$B:$B,"&gt;="&amp;$C401,Expenses!$B:$B,"&lt;="&amp;$D401),"na"))</f>
        <v>0</v>
      </c>
      <c r="F401" s="173">
        <f>IF($D401="","",IFERROR(SUMIFS(Income!$D:$D,Income!$B:$B,"&gt;="&amp;$C401,Income!$B:$B,"&lt;="&amp;$D401),"na"))</f>
        <v>0</v>
      </c>
      <c r="G401" s="173">
        <f t="shared" si="258"/>
        <v>0</v>
      </c>
      <c r="H401" s="174" t="str">
        <f t="shared" si="259"/>
        <v>na</v>
      </c>
      <c r="I401" s="174" t="str">
        <f t="shared" si="260"/>
        <v>na</v>
      </c>
      <c r="J401" s="173">
        <f t="shared" ref="J401:L401" si="403">IF(E401="","",J$5)</f>
        <v>38</v>
      </c>
      <c r="K401" s="173">
        <f t="shared" si="403"/>
        <v>300</v>
      </c>
      <c r="L401" s="173">
        <f t="shared" si="403"/>
        <v>262</v>
      </c>
      <c r="M401" s="173">
        <f>IF($D401="","",'Total &amp; Budget Targets'!$G$44)</f>
        <v>0</v>
      </c>
      <c r="N401" s="173">
        <f>IF($D401="","",'Total &amp; Budget Targets'!$G$63)</f>
        <v>0</v>
      </c>
      <c r="O401" s="173">
        <f>IF($D401="","",'Total &amp; Budget Targets'!$G$69)</f>
        <v>0</v>
      </c>
    </row>
    <row r="402" spans="1:15" ht="15.75" customHeight="1" x14ac:dyDescent="0.2">
      <c r="A402" s="165">
        <f t="shared" si="262"/>
        <v>398</v>
      </c>
      <c r="B402" s="172"/>
      <c r="C402" s="169">
        <f>IF(D401="","",IF(D401+1&gt;'Date Info'!$D$21,"",D401+1))</f>
        <v>57770</v>
      </c>
      <c r="D402" s="172">
        <f>IFERROR(IF(C402="","",IF(EOMONTH(C402,0)&gt;'Date Info'!$D$21,'Date Info'!$D$21,EOMONTH(C402,0))),"")</f>
        <v>57800</v>
      </c>
      <c r="E402" s="173">
        <f>IF($D402="","",IFERROR(SUMIFS(Expenses!$E:$E,Expenses!$B:$B,"&gt;="&amp;$C402,Expenses!$B:$B,"&lt;="&amp;$D402),"na"))</f>
        <v>0</v>
      </c>
      <c r="F402" s="173">
        <f>IF($D402="","",IFERROR(SUMIFS(Income!$D:$D,Income!$B:$B,"&gt;="&amp;$C402,Income!$B:$B,"&lt;="&amp;$D402),"na"))</f>
        <v>0</v>
      </c>
      <c r="G402" s="173">
        <f t="shared" si="258"/>
        <v>0</v>
      </c>
      <c r="H402" s="174" t="str">
        <f t="shared" si="259"/>
        <v>na</v>
      </c>
      <c r="I402" s="174" t="str">
        <f t="shared" si="260"/>
        <v>na</v>
      </c>
      <c r="J402" s="173">
        <f t="shared" ref="J402:L402" si="404">IF(E402="","",J$5)</f>
        <v>38</v>
      </c>
      <c r="K402" s="173">
        <f t="shared" si="404"/>
        <v>300</v>
      </c>
      <c r="L402" s="173">
        <f t="shared" si="404"/>
        <v>262</v>
      </c>
      <c r="M402" s="173">
        <f>IF($D402="","",'Total &amp; Budget Targets'!$G$44)</f>
        <v>0</v>
      </c>
      <c r="N402" s="173">
        <f>IF($D402="","",'Total &amp; Budget Targets'!$G$63)</f>
        <v>0</v>
      </c>
      <c r="O402" s="173">
        <f>IF($D402="","",'Total &amp; Budget Targets'!$G$69)</f>
        <v>0</v>
      </c>
    </row>
    <row r="403" spans="1:15" ht="15.75" customHeight="1" x14ac:dyDescent="0.2">
      <c r="A403" s="165">
        <f t="shared" si="262"/>
        <v>399</v>
      </c>
      <c r="B403" s="172"/>
      <c r="C403" s="169">
        <f>IF(D402="","",IF(D402+1&gt;'Date Info'!$D$21,"",D402+1))</f>
        <v>57801</v>
      </c>
      <c r="D403" s="172">
        <f>IFERROR(IF(C403="","",IF(EOMONTH(C403,0)&gt;'Date Info'!$D$21,'Date Info'!$D$21,EOMONTH(C403,0))),"")</f>
        <v>57830</v>
      </c>
      <c r="E403" s="173">
        <f>IF($D403="","",IFERROR(SUMIFS(Expenses!$E:$E,Expenses!$B:$B,"&gt;="&amp;$C403,Expenses!$B:$B,"&lt;="&amp;$D403),"na"))</f>
        <v>0</v>
      </c>
      <c r="F403" s="173">
        <f>IF($D403="","",IFERROR(SUMIFS(Income!$D:$D,Income!$B:$B,"&gt;="&amp;$C403,Income!$B:$B,"&lt;="&amp;$D403),"na"))</f>
        <v>0</v>
      </c>
      <c r="G403" s="173">
        <f t="shared" si="258"/>
        <v>0</v>
      </c>
      <c r="H403" s="174" t="str">
        <f t="shared" si="259"/>
        <v>na</v>
      </c>
      <c r="I403" s="174" t="str">
        <f t="shared" si="260"/>
        <v>na</v>
      </c>
      <c r="J403" s="173">
        <f t="shared" ref="J403:L403" si="405">IF(E403="","",J$5)</f>
        <v>38</v>
      </c>
      <c r="K403" s="173">
        <f t="shared" si="405"/>
        <v>300</v>
      </c>
      <c r="L403" s="173">
        <f t="shared" si="405"/>
        <v>262</v>
      </c>
      <c r="M403" s="173">
        <f>IF($D403="","",'Total &amp; Budget Targets'!$G$44)</f>
        <v>0</v>
      </c>
      <c r="N403" s="173">
        <f>IF($D403="","",'Total &amp; Budget Targets'!$G$63)</f>
        <v>0</v>
      </c>
      <c r="O403" s="173">
        <f>IF($D403="","",'Total &amp; Budget Targets'!$G$69)</f>
        <v>0</v>
      </c>
    </row>
    <row r="404" spans="1:15" ht="15.75" customHeight="1" x14ac:dyDescent="0.2">
      <c r="A404" s="165">
        <f t="shared" si="262"/>
        <v>400</v>
      </c>
      <c r="B404" s="172"/>
      <c r="C404" s="169">
        <f>IF(D403="","",IF(D403+1&gt;'Date Info'!$D$21,"",D403+1))</f>
        <v>57831</v>
      </c>
      <c r="D404" s="172">
        <f>IFERROR(IF(C404="","",IF(EOMONTH(C404,0)&gt;'Date Info'!$D$21,'Date Info'!$D$21,EOMONTH(C404,0))),"")</f>
        <v>57861</v>
      </c>
      <c r="E404" s="173">
        <f>IF($D404="","",IFERROR(SUMIFS(Expenses!$E:$E,Expenses!$B:$B,"&gt;="&amp;$C404,Expenses!$B:$B,"&lt;="&amp;$D404),"na"))</f>
        <v>0</v>
      </c>
      <c r="F404" s="173">
        <f>IF($D404="","",IFERROR(SUMIFS(Income!$D:$D,Income!$B:$B,"&gt;="&amp;$C404,Income!$B:$B,"&lt;="&amp;$D404),"na"))</f>
        <v>0</v>
      </c>
      <c r="G404" s="173">
        <f t="shared" si="258"/>
        <v>0</v>
      </c>
      <c r="H404" s="174" t="str">
        <f t="shared" si="259"/>
        <v>na</v>
      </c>
      <c r="I404" s="174" t="str">
        <f t="shared" si="260"/>
        <v>na</v>
      </c>
      <c r="J404" s="173">
        <f t="shared" ref="J404:L404" si="406">IF(E404="","",J$5)</f>
        <v>38</v>
      </c>
      <c r="K404" s="173">
        <f t="shared" si="406"/>
        <v>300</v>
      </c>
      <c r="L404" s="173">
        <f t="shared" si="406"/>
        <v>262</v>
      </c>
      <c r="M404" s="173">
        <f>IF($D404="","",'Total &amp; Budget Targets'!$G$44)</f>
        <v>0</v>
      </c>
      <c r="N404" s="173">
        <f>IF($D404="","",'Total &amp; Budget Targets'!$G$63)</f>
        <v>0</v>
      </c>
      <c r="O404" s="173">
        <f>IF($D404="","",'Total &amp; Budget Targets'!$G$69)</f>
        <v>0</v>
      </c>
    </row>
    <row r="405" spans="1:15" ht="15.75" customHeight="1" x14ac:dyDescent="0.2">
      <c r="A405" s="175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</row>
    <row r="406" spans="1:15" ht="15.75" customHeight="1" x14ac:dyDescent="0.2">
      <c r="A406" s="175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</row>
    <row r="407" spans="1:15" ht="15.75" customHeight="1" x14ac:dyDescent="0.2">
      <c r="A407" s="175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</row>
    <row r="408" spans="1:15" ht="15.75" customHeight="1" x14ac:dyDescent="0.2">
      <c r="A408" s="175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</row>
    <row r="409" spans="1:15" ht="15.75" customHeight="1" x14ac:dyDescent="0.2">
      <c r="A409" s="175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</row>
    <row r="410" spans="1:15" ht="15.75" customHeight="1" x14ac:dyDescent="0.2">
      <c r="A410" s="175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</row>
    <row r="411" spans="1:15" ht="15.75" customHeight="1" x14ac:dyDescent="0.2">
      <c r="A411" s="175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</row>
    <row r="412" spans="1:15" ht="15.75" customHeight="1" x14ac:dyDescent="0.2">
      <c r="A412" s="175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</row>
    <row r="413" spans="1:15" ht="15.75" customHeight="1" x14ac:dyDescent="0.2">
      <c r="A413" s="175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</row>
    <row r="414" spans="1:15" ht="15.75" customHeight="1" x14ac:dyDescent="0.2">
      <c r="A414" s="175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</row>
    <row r="415" spans="1:15" ht="15.75" customHeight="1" x14ac:dyDescent="0.2">
      <c r="A415" s="175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</row>
    <row r="416" spans="1:15" ht="15.75" customHeight="1" x14ac:dyDescent="0.2">
      <c r="A416" s="175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</row>
    <row r="417" spans="1:15" ht="15.75" customHeight="1" x14ac:dyDescent="0.2">
      <c r="A417" s="175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</row>
    <row r="418" spans="1:15" ht="15.75" customHeight="1" x14ac:dyDescent="0.2">
      <c r="A418" s="175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</row>
    <row r="419" spans="1:15" ht="15.75" customHeight="1" x14ac:dyDescent="0.2">
      <c r="A419" s="175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</row>
    <row r="420" spans="1:15" ht="15.75" customHeight="1" x14ac:dyDescent="0.2">
      <c r="A420" s="175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</row>
    <row r="421" spans="1:15" ht="15.75" customHeight="1" x14ac:dyDescent="0.2">
      <c r="A421" s="175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</row>
    <row r="422" spans="1:15" ht="15.75" customHeight="1" x14ac:dyDescent="0.2">
      <c r="A422" s="175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</row>
    <row r="423" spans="1:15" ht="15.75" customHeight="1" x14ac:dyDescent="0.2">
      <c r="A423" s="175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</row>
    <row r="424" spans="1:15" ht="15.75" customHeight="1" x14ac:dyDescent="0.2">
      <c r="A424" s="175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</row>
    <row r="425" spans="1:15" ht="15.75" customHeight="1" x14ac:dyDescent="0.2">
      <c r="A425" s="175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</row>
    <row r="426" spans="1:15" ht="15.75" customHeight="1" x14ac:dyDescent="0.2">
      <c r="A426" s="175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</row>
    <row r="427" spans="1:15" ht="15.75" customHeight="1" x14ac:dyDescent="0.2">
      <c r="A427" s="175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</row>
    <row r="428" spans="1:15" ht="15.75" customHeight="1" x14ac:dyDescent="0.2">
      <c r="A428" s="175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</row>
    <row r="429" spans="1:15" ht="15.75" customHeight="1" x14ac:dyDescent="0.2">
      <c r="A429" s="175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</row>
    <row r="430" spans="1:15" ht="15.75" customHeight="1" x14ac:dyDescent="0.2">
      <c r="A430" s="175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</row>
    <row r="431" spans="1:15" ht="15.75" customHeight="1" x14ac:dyDescent="0.2">
      <c r="A431" s="175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</row>
    <row r="432" spans="1:15" ht="15.75" customHeight="1" x14ac:dyDescent="0.2">
      <c r="A432" s="175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</row>
    <row r="433" spans="1:15" ht="15.75" customHeight="1" x14ac:dyDescent="0.2">
      <c r="A433" s="175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</row>
    <row r="434" spans="1:15" ht="15.75" customHeight="1" x14ac:dyDescent="0.2">
      <c r="A434" s="175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</row>
    <row r="435" spans="1:15" ht="15.75" customHeight="1" x14ac:dyDescent="0.2">
      <c r="A435" s="175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</row>
    <row r="436" spans="1:15" ht="15.75" customHeight="1" x14ac:dyDescent="0.2">
      <c r="A436" s="175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</row>
    <row r="437" spans="1:15" ht="15.75" customHeight="1" x14ac:dyDescent="0.2">
      <c r="A437" s="175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</row>
    <row r="438" spans="1:15" ht="15.75" customHeight="1" x14ac:dyDescent="0.2">
      <c r="A438" s="175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</row>
    <row r="439" spans="1:15" ht="15.75" customHeight="1" x14ac:dyDescent="0.2">
      <c r="A439" s="175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</row>
    <row r="440" spans="1:15" ht="15.75" customHeight="1" x14ac:dyDescent="0.2">
      <c r="A440" s="175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</row>
    <row r="441" spans="1:15" ht="15.75" customHeight="1" x14ac:dyDescent="0.2">
      <c r="A441" s="175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</row>
    <row r="442" spans="1:15" ht="15.75" customHeight="1" x14ac:dyDescent="0.2">
      <c r="A442" s="175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</row>
    <row r="443" spans="1:15" ht="15.75" customHeight="1" x14ac:dyDescent="0.2">
      <c r="A443" s="175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</row>
    <row r="444" spans="1:15" ht="15.75" customHeight="1" x14ac:dyDescent="0.2">
      <c r="A444" s="175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</row>
    <row r="445" spans="1:15" ht="15.75" customHeight="1" x14ac:dyDescent="0.2">
      <c r="A445" s="175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</row>
    <row r="446" spans="1:15" ht="15.75" customHeight="1" x14ac:dyDescent="0.2">
      <c r="A446" s="175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</row>
    <row r="447" spans="1:15" ht="15.75" customHeight="1" x14ac:dyDescent="0.2">
      <c r="A447" s="175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</row>
    <row r="448" spans="1:15" ht="15.75" customHeight="1" x14ac:dyDescent="0.2">
      <c r="A448" s="175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</row>
    <row r="449" spans="1:15" ht="15.75" customHeight="1" x14ac:dyDescent="0.2">
      <c r="A449" s="175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</row>
    <row r="450" spans="1:15" ht="15.75" customHeight="1" x14ac:dyDescent="0.2">
      <c r="A450" s="175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</row>
    <row r="451" spans="1:15" ht="15.75" customHeight="1" x14ac:dyDescent="0.2">
      <c r="A451" s="175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</row>
    <row r="452" spans="1:15" ht="15.75" customHeight="1" x14ac:dyDescent="0.2">
      <c r="A452" s="175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</row>
    <row r="453" spans="1:15" ht="15.75" customHeight="1" x14ac:dyDescent="0.2">
      <c r="A453" s="175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</row>
    <row r="454" spans="1:15" ht="15.75" customHeight="1" x14ac:dyDescent="0.2">
      <c r="A454" s="175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</row>
    <row r="455" spans="1:15" ht="15.75" customHeight="1" x14ac:dyDescent="0.2">
      <c r="A455" s="175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</row>
    <row r="456" spans="1:15" ht="15.75" customHeight="1" x14ac:dyDescent="0.2">
      <c r="A456" s="175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</row>
    <row r="457" spans="1:15" ht="15.75" customHeight="1" x14ac:dyDescent="0.2">
      <c r="A457" s="175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</row>
    <row r="458" spans="1:15" ht="15.75" customHeight="1" x14ac:dyDescent="0.2">
      <c r="A458" s="175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</row>
    <row r="459" spans="1:15" ht="15.75" customHeight="1" x14ac:dyDescent="0.2">
      <c r="A459" s="175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</row>
    <row r="460" spans="1:15" ht="15.75" customHeight="1" x14ac:dyDescent="0.2">
      <c r="A460" s="175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</row>
    <row r="461" spans="1:15" ht="15.75" customHeight="1" x14ac:dyDescent="0.2">
      <c r="A461" s="175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</row>
    <row r="462" spans="1:15" ht="15.75" customHeight="1" x14ac:dyDescent="0.2">
      <c r="A462" s="175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</row>
    <row r="463" spans="1:15" ht="15.75" customHeight="1" x14ac:dyDescent="0.2">
      <c r="A463" s="175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</row>
    <row r="464" spans="1:15" ht="15.75" customHeight="1" x14ac:dyDescent="0.2">
      <c r="A464" s="175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</row>
    <row r="465" spans="1:15" ht="15.75" customHeight="1" x14ac:dyDescent="0.2">
      <c r="A465" s="175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</row>
    <row r="466" spans="1:15" ht="15.75" customHeight="1" x14ac:dyDescent="0.2">
      <c r="A466" s="175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</row>
    <row r="467" spans="1:15" ht="15.75" customHeight="1" x14ac:dyDescent="0.2">
      <c r="A467" s="175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</row>
    <row r="468" spans="1:15" ht="15.75" customHeight="1" x14ac:dyDescent="0.2">
      <c r="A468" s="175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</row>
    <row r="469" spans="1:15" ht="15.75" customHeight="1" x14ac:dyDescent="0.2">
      <c r="A469" s="175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</row>
    <row r="470" spans="1:15" ht="15.75" customHeight="1" x14ac:dyDescent="0.2">
      <c r="A470" s="175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</row>
    <row r="471" spans="1:15" ht="15.75" customHeight="1" x14ac:dyDescent="0.2">
      <c r="A471" s="175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</row>
    <row r="472" spans="1:15" ht="15.75" customHeight="1" x14ac:dyDescent="0.2">
      <c r="A472" s="175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</row>
    <row r="473" spans="1:15" ht="15.75" customHeight="1" x14ac:dyDescent="0.2">
      <c r="A473" s="175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</row>
    <row r="474" spans="1:15" ht="15.75" customHeight="1" x14ac:dyDescent="0.2">
      <c r="A474" s="175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</row>
    <row r="475" spans="1:15" ht="15.75" customHeight="1" x14ac:dyDescent="0.2">
      <c r="A475" s="175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</row>
    <row r="476" spans="1:15" ht="15.75" customHeight="1" x14ac:dyDescent="0.2">
      <c r="A476" s="175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</row>
    <row r="477" spans="1:15" ht="15.75" customHeight="1" x14ac:dyDescent="0.2">
      <c r="A477" s="175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</row>
    <row r="478" spans="1:15" ht="15.75" customHeight="1" x14ac:dyDescent="0.2">
      <c r="A478" s="175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</row>
    <row r="479" spans="1:15" ht="15.75" customHeight="1" x14ac:dyDescent="0.2">
      <c r="A479" s="175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</row>
    <row r="480" spans="1:15" ht="15.75" customHeight="1" x14ac:dyDescent="0.2">
      <c r="A480" s="175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</row>
    <row r="481" spans="1:15" ht="15.75" customHeight="1" x14ac:dyDescent="0.2">
      <c r="A481" s="175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</row>
    <row r="482" spans="1:15" ht="15.75" customHeight="1" x14ac:dyDescent="0.2">
      <c r="A482" s="175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</row>
    <row r="483" spans="1:15" ht="15.75" customHeight="1" x14ac:dyDescent="0.2">
      <c r="A483" s="175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</row>
    <row r="484" spans="1:15" ht="15.75" customHeight="1" x14ac:dyDescent="0.2">
      <c r="A484" s="175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</row>
    <row r="485" spans="1:15" ht="15.75" customHeight="1" x14ac:dyDescent="0.2">
      <c r="A485" s="175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</row>
    <row r="486" spans="1:15" ht="15.75" customHeight="1" x14ac:dyDescent="0.2">
      <c r="A486" s="175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</row>
    <row r="487" spans="1:15" ht="15.75" customHeight="1" x14ac:dyDescent="0.2">
      <c r="A487" s="175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</row>
    <row r="488" spans="1:15" ht="15.75" customHeight="1" x14ac:dyDescent="0.2">
      <c r="A488" s="175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</row>
    <row r="489" spans="1:15" ht="15.75" customHeight="1" x14ac:dyDescent="0.2">
      <c r="A489" s="175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</row>
    <row r="490" spans="1:15" ht="15.75" customHeight="1" x14ac:dyDescent="0.2">
      <c r="A490" s="175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</row>
    <row r="491" spans="1:15" ht="15.75" customHeight="1" x14ac:dyDescent="0.2">
      <c r="A491" s="175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</row>
    <row r="492" spans="1:15" ht="15.75" customHeight="1" x14ac:dyDescent="0.2">
      <c r="A492" s="175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</row>
    <row r="493" spans="1:15" ht="15.75" customHeight="1" x14ac:dyDescent="0.2">
      <c r="A493" s="175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</row>
    <row r="494" spans="1:15" ht="15.75" customHeight="1" x14ac:dyDescent="0.2">
      <c r="A494" s="175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</row>
    <row r="495" spans="1:15" ht="15.75" customHeight="1" x14ac:dyDescent="0.2">
      <c r="A495" s="175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</row>
    <row r="496" spans="1:15" ht="15.75" customHeight="1" x14ac:dyDescent="0.2">
      <c r="A496" s="175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</row>
    <row r="497" spans="1:15" ht="15.75" customHeight="1" x14ac:dyDescent="0.2">
      <c r="A497" s="175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</row>
    <row r="498" spans="1:15" ht="15.75" customHeight="1" x14ac:dyDescent="0.2">
      <c r="A498" s="175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</row>
    <row r="499" spans="1:15" ht="15.75" customHeight="1" x14ac:dyDescent="0.2">
      <c r="A499" s="175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</row>
    <row r="500" spans="1:15" ht="15.75" customHeight="1" x14ac:dyDescent="0.2">
      <c r="A500" s="175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</row>
    <row r="501" spans="1:15" ht="15.75" customHeight="1" x14ac:dyDescent="0.2">
      <c r="A501" s="175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</row>
    <row r="502" spans="1:15" ht="15.75" customHeight="1" x14ac:dyDescent="0.2">
      <c r="A502" s="175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</row>
    <row r="503" spans="1:15" ht="15.75" customHeight="1" x14ac:dyDescent="0.2">
      <c r="A503" s="175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</row>
    <row r="504" spans="1:15" ht="15.75" customHeight="1" x14ac:dyDescent="0.2">
      <c r="A504" s="175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</row>
    <row r="505" spans="1:15" ht="15.75" customHeight="1" x14ac:dyDescent="0.2">
      <c r="A505" s="175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</row>
    <row r="506" spans="1:15" ht="15.75" customHeight="1" x14ac:dyDescent="0.2">
      <c r="A506" s="175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</row>
    <row r="507" spans="1:15" ht="15.75" customHeight="1" x14ac:dyDescent="0.2">
      <c r="A507" s="175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</row>
    <row r="508" spans="1:15" ht="15.75" customHeight="1" x14ac:dyDescent="0.2">
      <c r="A508" s="175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</row>
    <row r="509" spans="1:15" ht="15.75" customHeight="1" x14ac:dyDescent="0.2">
      <c r="A509" s="175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</row>
    <row r="510" spans="1:15" ht="15.75" customHeight="1" x14ac:dyDescent="0.2">
      <c r="A510" s="175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</row>
    <row r="511" spans="1:15" ht="15.75" customHeight="1" x14ac:dyDescent="0.2">
      <c r="A511" s="175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</row>
    <row r="512" spans="1:15" ht="15.75" customHeight="1" x14ac:dyDescent="0.2">
      <c r="A512" s="175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</row>
    <row r="513" spans="1:15" ht="15.75" customHeight="1" x14ac:dyDescent="0.2">
      <c r="A513" s="175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</row>
    <row r="514" spans="1:15" ht="15.75" customHeight="1" x14ac:dyDescent="0.2">
      <c r="A514" s="175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</row>
    <row r="515" spans="1:15" ht="15.75" customHeight="1" x14ac:dyDescent="0.2">
      <c r="A515" s="175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</row>
    <row r="516" spans="1:15" ht="15.75" customHeight="1" x14ac:dyDescent="0.2">
      <c r="A516" s="175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</row>
    <row r="517" spans="1:15" ht="15.75" customHeight="1" x14ac:dyDescent="0.2">
      <c r="A517" s="175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</row>
    <row r="518" spans="1:15" ht="15.75" customHeight="1" x14ac:dyDescent="0.2">
      <c r="A518" s="175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</row>
    <row r="519" spans="1:15" ht="15.75" customHeight="1" x14ac:dyDescent="0.2">
      <c r="A519" s="175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</row>
    <row r="520" spans="1:15" ht="15.75" customHeight="1" x14ac:dyDescent="0.2">
      <c r="A520" s="175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</row>
    <row r="521" spans="1:15" ht="15.75" customHeight="1" x14ac:dyDescent="0.2">
      <c r="A521" s="175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</row>
    <row r="522" spans="1:15" ht="15.75" customHeight="1" x14ac:dyDescent="0.2">
      <c r="A522" s="175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</row>
    <row r="523" spans="1:15" ht="15.75" customHeight="1" x14ac:dyDescent="0.2">
      <c r="A523" s="175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</row>
    <row r="524" spans="1:15" ht="15.75" customHeight="1" x14ac:dyDescent="0.2">
      <c r="A524" s="175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</row>
    <row r="525" spans="1:15" ht="15.75" customHeight="1" x14ac:dyDescent="0.2">
      <c r="A525" s="175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</row>
    <row r="526" spans="1:15" ht="15.75" customHeight="1" x14ac:dyDescent="0.2">
      <c r="A526" s="175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</row>
    <row r="527" spans="1:15" ht="15.75" customHeight="1" x14ac:dyDescent="0.2">
      <c r="A527" s="175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</row>
    <row r="528" spans="1:15" ht="15.75" customHeight="1" x14ac:dyDescent="0.2">
      <c r="A528" s="175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</row>
    <row r="529" spans="1:15" ht="15.75" customHeight="1" x14ac:dyDescent="0.2">
      <c r="A529" s="175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</row>
    <row r="530" spans="1:15" ht="15.75" customHeight="1" x14ac:dyDescent="0.2">
      <c r="A530" s="175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</row>
    <row r="531" spans="1:15" ht="15.75" customHeight="1" x14ac:dyDescent="0.2">
      <c r="A531" s="175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</row>
    <row r="532" spans="1:15" ht="15.75" customHeight="1" x14ac:dyDescent="0.2">
      <c r="A532" s="175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</row>
    <row r="533" spans="1:15" ht="15.75" customHeight="1" x14ac:dyDescent="0.2">
      <c r="A533" s="175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</row>
    <row r="534" spans="1:15" ht="15.75" customHeight="1" x14ac:dyDescent="0.2">
      <c r="A534" s="175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</row>
    <row r="535" spans="1:15" ht="15.75" customHeight="1" x14ac:dyDescent="0.2">
      <c r="A535" s="175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</row>
    <row r="536" spans="1:15" ht="15.75" customHeight="1" x14ac:dyDescent="0.2">
      <c r="A536" s="175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</row>
    <row r="537" spans="1:15" ht="15.75" customHeight="1" x14ac:dyDescent="0.2">
      <c r="A537" s="175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</row>
    <row r="538" spans="1:15" ht="15.75" customHeight="1" x14ac:dyDescent="0.2">
      <c r="A538" s="175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</row>
    <row r="539" spans="1:15" ht="15.75" customHeight="1" x14ac:dyDescent="0.2">
      <c r="A539" s="175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</row>
    <row r="540" spans="1:15" ht="15.75" customHeight="1" x14ac:dyDescent="0.2">
      <c r="A540" s="175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</row>
    <row r="541" spans="1:15" ht="15.75" customHeight="1" x14ac:dyDescent="0.2">
      <c r="A541" s="175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</row>
    <row r="542" spans="1:15" ht="15.75" customHeight="1" x14ac:dyDescent="0.2">
      <c r="A542" s="175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</row>
    <row r="543" spans="1:15" ht="15.75" customHeight="1" x14ac:dyDescent="0.2">
      <c r="A543" s="175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</row>
    <row r="544" spans="1:15" ht="15.75" customHeight="1" x14ac:dyDescent="0.2">
      <c r="A544" s="175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</row>
    <row r="545" spans="1:15" ht="15.75" customHeight="1" x14ac:dyDescent="0.2">
      <c r="A545" s="175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</row>
    <row r="546" spans="1:15" ht="15.75" customHeight="1" x14ac:dyDescent="0.2">
      <c r="A546" s="175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</row>
    <row r="547" spans="1:15" ht="15.75" customHeight="1" x14ac:dyDescent="0.2">
      <c r="A547" s="175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</row>
    <row r="548" spans="1:15" ht="15.75" customHeight="1" x14ac:dyDescent="0.2">
      <c r="A548" s="175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</row>
    <row r="549" spans="1:15" ht="15.75" customHeight="1" x14ac:dyDescent="0.2">
      <c r="A549" s="175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</row>
    <row r="550" spans="1:15" ht="15.75" customHeight="1" x14ac:dyDescent="0.2">
      <c r="A550" s="175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</row>
    <row r="551" spans="1:15" ht="15.75" customHeight="1" x14ac:dyDescent="0.2">
      <c r="A551" s="175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</row>
    <row r="552" spans="1:15" ht="15.75" customHeight="1" x14ac:dyDescent="0.2">
      <c r="A552" s="175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</row>
    <row r="553" spans="1:15" ht="15.75" customHeight="1" x14ac:dyDescent="0.2">
      <c r="A553" s="175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</row>
    <row r="554" spans="1:15" ht="15.75" customHeight="1" x14ac:dyDescent="0.2">
      <c r="A554" s="175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</row>
    <row r="555" spans="1:15" ht="15.75" customHeight="1" x14ac:dyDescent="0.2">
      <c r="A555" s="175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</row>
    <row r="556" spans="1:15" ht="15.75" customHeight="1" x14ac:dyDescent="0.2">
      <c r="A556" s="175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</row>
    <row r="557" spans="1:15" ht="15.75" customHeight="1" x14ac:dyDescent="0.2">
      <c r="A557" s="175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</row>
    <row r="558" spans="1:15" ht="15.75" customHeight="1" x14ac:dyDescent="0.2">
      <c r="A558" s="175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</row>
    <row r="559" spans="1:15" ht="15.75" customHeight="1" x14ac:dyDescent="0.2">
      <c r="A559" s="175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</row>
    <row r="560" spans="1:15" ht="15.75" customHeight="1" x14ac:dyDescent="0.2">
      <c r="A560" s="175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</row>
    <row r="561" spans="1:15" ht="15.75" customHeight="1" x14ac:dyDescent="0.2">
      <c r="A561" s="175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</row>
    <row r="562" spans="1:15" ht="15.75" customHeight="1" x14ac:dyDescent="0.2">
      <c r="A562" s="175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</row>
    <row r="563" spans="1:15" ht="15.75" customHeight="1" x14ac:dyDescent="0.2">
      <c r="A563" s="175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</row>
    <row r="564" spans="1:15" ht="15.75" customHeight="1" x14ac:dyDescent="0.2">
      <c r="A564" s="175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</row>
    <row r="565" spans="1:15" ht="15.75" customHeight="1" x14ac:dyDescent="0.2">
      <c r="A565" s="175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</row>
    <row r="566" spans="1:15" ht="15.75" customHeight="1" x14ac:dyDescent="0.2">
      <c r="A566" s="175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</row>
    <row r="567" spans="1:15" ht="15.75" customHeight="1" x14ac:dyDescent="0.2">
      <c r="A567" s="175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</row>
    <row r="568" spans="1:15" ht="15.75" customHeight="1" x14ac:dyDescent="0.2">
      <c r="A568" s="175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</row>
    <row r="569" spans="1:15" ht="15.75" customHeight="1" x14ac:dyDescent="0.2">
      <c r="A569" s="175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</row>
    <row r="570" spans="1:15" ht="15.75" customHeight="1" x14ac:dyDescent="0.2">
      <c r="A570" s="175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</row>
    <row r="571" spans="1:15" ht="15.75" customHeight="1" x14ac:dyDescent="0.2">
      <c r="A571" s="175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</row>
    <row r="572" spans="1:15" ht="15.75" customHeight="1" x14ac:dyDescent="0.2">
      <c r="A572" s="175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</row>
    <row r="573" spans="1:15" ht="15.75" customHeight="1" x14ac:dyDescent="0.2">
      <c r="A573" s="175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</row>
    <row r="574" spans="1:15" ht="15.75" customHeight="1" x14ac:dyDescent="0.2">
      <c r="A574" s="175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</row>
    <row r="575" spans="1:15" ht="15.75" customHeight="1" x14ac:dyDescent="0.2">
      <c r="A575" s="175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</row>
    <row r="576" spans="1:15" ht="15.75" customHeight="1" x14ac:dyDescent="0.2">
      <c r="A576" s="175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</row>
    <row r="577" spans="1:15" ht="15.75" customHeight="1" x14ac:dyDescent="0.2">
      <c r="A577" s="175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</row>
    <row r="578" spans="1:15" ht="15.75" customHeight="1" x14ac:dyDescent="0.2">
      <c r="A578" s="175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</row>
    <row r="579" spans="1:15" ht="15.75" customHeight="1" x14ac:dyDescent="0.2">
      <c r="A579" s="175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</row>
    <row r="580" spans="1:15" ht="15.75" customHeight="1" x14ac:dyDescent="0.2">
      <c r="A580" s="175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</row>
    <row r="581" spans="1:15" ht="15.75" customHeight="1" x14ac:dyDescent="0.2">
      <c r="A581" s="175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</row>
    <row r="582" spans="1:15" ht="15.75" customHeight="1" x14ac:dyDescent="0.2">
      <c r="A582" s="175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</row>
    <row r="583" spans="1:15" ht="15.75" customHeight="1" x14ac:dyDescent="0.2">
      <c r="A583" s="175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</row>
    <row r="584" spans="1:15" ht="15.75" customHeight="1" x14ac:dyDescent="0.2">
      <c r="A584" s="175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</row>
    <row r="585" spans="1:15" ht="15.75" customHeight="1" x14ac:dyDescent="0.2">
      <c r="A585" s="175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</row>
    <row r="586" spans="1:15" ht="15.75" customHeight="1" x14ac:dyDescent="0.2">
      <c r="A586" s="175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</row>
    <row r="587" spans="1:15" ht="15.75" customHeight="1" x14ac:dyDescent="0.2">
      <c r="A587" s="175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</row>
    <row r="588" spans="1:15" ht="15.75" customHeight="1" x14ac:dyDescent="0.2">
      <c r="A588" s="175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</row>
    <row r="589" spans="1:15" ht="15.75" customHeight="1" x14ac:dyDescent="0.2">
      <c r="A589" s="175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</row>
    <row r="590" spans="1:15" ht="15.75" customHeight="1" x14ac:dyDescent="0.2">
      <c r="A590" s="175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</row>
    <row r="591" spans="1:15" ht="15.75" customHeight="1" x14ac:dyDescent="0.2">
      <c r="A591" s="175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</row>
    <row r="592" spans="1:15" ht="15.75" customHeight="1" x14ac:dyDescent="0.2">
      <c r="A592" s="175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</row>
    <row r="593" spans="1:15" ht="15.75" customHeight="1" x14ac:dyDescent="0.2">
      <c r="A593" s="175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</row>
    <row r="594" spans="1:15" ht="15.75" customHeight="1" x14ac:dyDescent="0.2">
      <c r="A594" s="175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</row>
    <row r="595" spans="1:15" ht="15.75" customHeight="1" x14ac:dyDescent="0.2">
      <c r="A595" s="175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</row>
    <row r="596" spans="1:15" ht="15.75" customHeight="1" x14ac:dyDescent="0.2">
      <c r="A596" s="175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</row>
    <row r="597" spans="1:15" ht="15.75" customHeight="1" x14ac:dyDescent="0.2">
      <c r="A597" s="175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</row>
    <row r="598" spans="1:15" ht="15.75" customHeight="1" x14ac:dyDescent="0.2">
      <c r="A598" s="175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</row>
    <row r="599" spans="1:15" ht="15.75" customHeight="1" x14ac:dyDescent="0.2">
      <c r="A599" s="175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</row>
    <row r="600" spans="1:15" ht="15.75" customHeight="1" x14ac:dyDescent="0.2">
      <c r="A600" s="175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</row>
    <row r="601" spans="1:15" ht="15.75" customHeight="1" x14ac:dyDescent="0.2">
      <c r="A601" s="175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</row>
    <row r="602" spans="1:15" ht="15.75" customHeight="1" x14ac:dyDescent="0.2">
      <c r="A602" s="175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</row>
    <row r="603" spans="1:15" ht="15.75" customHeight="1" x14ac:dyDescent="0.2">
      <c r="A603" s="175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</row>
    <row r="604" spans="1:15" ht="15.75" customHeight="1" x14ac:dyDescent="0.2">
      <c r="A604" s="175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</row>
  </sheetData>
  <mergeCells count="5">
    <mergeCell ref="C3:D3"/>
    <mergeCell ref="E3:G3"/>
    <mergeCell ref="H3:I3"/>
    <mergeCell ref="J3:L3"/>
    <mergeCell ref="M3:O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outlinePr summaryBelow="0" summaryRight="0"/>
  </sheetPr>
  <dimension ref="A1:E1000"/>
  <sheetViews>
    <sheetView showGridLines="0" workbookViewId="0"/>
  </sheetViews>
  <sheetFormatPr defaultColWidth="12.5703125" defaultRowHeight="15" customHeight="1" x14ac:dyDescent="0.2"/>
  <cols>
    <col min="1" max="1" width="3.85546875" customWidth="1"/>
    <col min="2" max="2" width="38.7109375" customWidth="1"/>
    <col min="3" max="3" width="3.85546875" customWidth="1"/>
    <col min="4" max="4" width="46.42578125" customWidth="1"/>
    <col min="5" max="5" width="12.5703125" customWidth="1"/>
  </cols>
  <sheetData>
    <row r="1" spans="1:5" ht="15.75" customHeight="1" x14ac:dyDescent="0.2">
      <c r="A1" s="176"/>
      <c r="E1" s="119"/>
    </row>
    <row r="2" spans="1:5" ht="15.75" customHeight="1" x14ac:dyDescent="0.2">
      <c r="A2" s="176"/>
      <c r="B2" s="177" t="s">
        <v>100</v>
      </c>
      <c r="D2" s="148" t="s">
        <v>101</v>
      </c>
      <c r="E2" s="119"/>
    </row>
    <row r="3" spans="1:5" ht="15.75" customHeight="1" x14ac:dyDescent="0.2">
      <c r="A3" s="176">
        <v>1</v>
      </c>
      <c r="B3" s="178" t="s">
        <v>25</v>
      </c>
      <c r="D3" s="148" t="s">
        <v>102</v>
      </c>
      <c r="E3" s="119"/>
    </row>
    <row r="4" spans="1:5" ht="15.75" customHeight="1" x14ac:dyDescent="0.2">
      <c r="A4" s="176">
        <v>2</v>
      </c>
      <c r="B4" s="178" t="s">
        <v>103</v>
      </c>
      <c r="D4" s="148" t="s">
        <v>104</v>
      </c>
      <c r="E4" s="119"/>
    </row>
    <row r="5" spans="1:5" ht="15.75" customHeight="1" x14ac:dyDescent="0.2">
      <c r="A5" s="176">
        <v>3</v>
      </c>
      <c r="B5" s="178" t="s">
        <v>33</v>
      </c>
      <c r="D5" s="148" t="s">
        <v>105</v>
      </c>
      <c r="E5" s="119"/>
    </row>
    <row r="6" spans="1:5" ht="15.75" customHeight="1" x14ac:dyDescent="0.2">
      <c r="A6" s="176">
        <v>4</v>
      </c>
      <c r="B6" s="178" t="s">
        <v>27</v>
      </c>
      <c r="D6" s="148" t="s">
        <v>106</v>
      </c>
      <c r="E6" s="119"/>
    </row>
    <row r="7" spans="1:5" ht="15.75" customHeight="1" x14ac:dyDescent="0.2">
      <c r="A7" s="176">
        <v>6</v>
      </c>
      <c r="B7" s="178" t="s">
        <v>31</v>
      </c>
      <c r="D7" s="148" t="s">
        <v>107</v>
      </c>
      <c r="E7" s="119"/>
    </row>
    <row r="8" spans="1:5" ht="15.75" customHeight="1" x14ac:dyDescent="0.2">
      <c r="A8" s="176">
        <v>7</v>
      </c>
      <c r="B8" s="178" t="s">
        <v>38</v>
      </c>
      <c r="D8" s="148" t="s">
        <v>108</v>
      </c>
      <c r="E8" s="119"/>
    </row>
    <row r="9" spans="1:5" ht="15.75" customHeight="1" x14ac:dyDescent="0.2">
      <c r="A9" s="176">
        <v>8</v>
      </c>
      <c r="B9" s="178" t="s">
        <v>109</v>
      </c>
      <c r="D9" s="148" t="s">
        <v>110</v>
      </c>
      <c r="E9" s="119"/>
    </row>
    <row r="10" spans="1:5" ht="15.75" customHeight="1" x14ac:dyDescent="0.2">
      <c r="A10" s="176">
        <v>26</v>
      </c>
      <c r="B10" s="178" t="s">
        <v>111</v>
      </c>
      <c r="D10" s="148" t="s">
        <v>112</v>
      </c>
      <c r="E10" s="119"/>
    </row>
    <row r="11" spans="1:5" ht="15.75" customHeight="1" x14ac:dyDescent="0.2">
      <c r="A11" s="176">
        <v>9</v>
      </c>
      <c r="B11" s="178" t="s">
        <v>19</v>
      </c>
      <c r="D11" s="148" t="s">
        <v>113</v>
      </c>
      <c r="E11" s="119"/>
    </row>
    <row r="12" spans="1:5" ht="15.75" customHeight="1" x14ac:dyDescent="0.2">
      <c r="A12" s="176">
        <v>10</v>
      </c>
      <c r="B12" s="178" t="s">
        <v>17</v>
      </c>
      <c r="D12" s="148" t="s">
        <v>114</v>
      </c>
      <c r="E12" s="119"/>
    </row>
    <row r="13" spans="1:5" ht="15.75" customHeight="1" x14ac:dyDescent="0.2">
      <c r="A13" s="176">
        <v>11</v>
      </c>
      <c r="B13" s="178" t="s">
        <v>20</v>
      </c>
      <c r="D13" s="148" t="s">
        <v>115</v>
      </c>
      <c r="E13" s="119"/>
    </row>
    <row r="14" spans="1:5" ht="15.75" customHeight="1" x14ac:dyDescent="0.2">
      <c r="A14" s="176">
        <v>12</v>
      </c>
      <c r="B14" s="178" t="s">
        <v>32</v>
      </c>
      <c r="D14" s="148" t="s">
        <v>116</v>
      </c>
      <c r="E14" s="119"/>
    </row>
    <row r="15" spans="1:5" ht="15.75" customHeight="1" x14ac:dyDescent="0.2">
      <c r="A15" s="176">
        <v>13</v>
      </c>
      <c r="B15" s="178" t="s">
        <v>34</v>
      </c>
      <c r="D15" s="148" t="s">
        <v>117</v>
      </c>
      <c r="E15" s="119"/>
    </row>
    <row r="16" spans="1:5" ht="15.75" customHeight="1" x14ac:dyDescent="0.2">
      <c r="A16" s="176">
        <v>5</v>
      </c>
      <c r="B16" s="178" t="s">
        <v>37</v>
      </c>
      <c r="D16" s="148" t="s">
        <v>118</v>
      </c>
      <c r="E16" s="119"/>
    </row>
    <row r="17" spans="1:5" ht="15.75" customHeight="1" x14ac:dyDescent="0.2">
      <c r="A17" s="176">
        <v>14</v>
      </c>
      <c r="B17" s="178" t="s">
        <v>28</v>
      </c>
      <c r="D17" s="148" t="s">
        <v>119</v>
      </c>
      <c r="E17" s="119"/>
    </row>
    <row r="18" spans="1:5" ht="15.75" customHeight="1" x14ac:dyDescent="0.2">
      <c r="A18" s="176">
        <v>15</v>
      </c>
      <c r="B18" s="178" t="s">
        <v>22</v>
      </c>
      <c r="D18" s="148" t="s">
        <v>120</v>
      </c>
      <c r="E18" s="119"/>
    </row>
    <row r="19" spans="1:5" ht="15.75" customHeight="1" x14ac:dyDescent="0.2">
      <c r="A19" s="176">
        <v>16</v>
      </c>
      <c r="B19" s="178" t="s">
        <v>24</v>
      </c>
      <c r="D19" s="148" t="s">
        <v>121</v>
      </c>
      <c r="E19" s="119"/>
    </row>
    <row r="20" spans="1:5" ht="15.75" customHeight="1" x14ac:dyDescent="0.2">
      <c r="A20" s="176">
        <v>17</v>
      </c>
      <c r="B20" s="178" t="s">
        <v>21</v>
      </c>
      <c r="D20" s="148" t="s">
        <v>122</v>
      </c>
      <c r="E20" s="119"/>
    </row>
    <row r="21" spans="1:5" ht="15.75" customHeight="1" x14ac:dyDescent="0.2">
      <c r="A21" s="176">
        <v>18</v>
      </c>
      <c r="B21" s="178" t="s">
        <v>123</v>
      </c>
      <c r="D21" s="148" t="s">
        <v>124</v>
      </c>
      <c r="E21" s="119"/>
    </row>
    <row r="22" spans="1:5" ht="15.75" customHeight="1" x14ac:dyDescent="0.2">
      <c r="A22" s="176">
        <v>27</v>
      </c>
      <c r="B22" s="178" t="s">
        <v>26</v>
      </c>
      <c r="D22" s="148" t="s">
        <v>125</v>
      </c>
      <c r="E22" s="119"/>
    </row>
    <row r="23" spans="1:5" ht="15.75" customHeight="1" x14ac:dyDescent="0.2">
      <c r="A23" s="176">
        <v>19</v>
      </c>
      <c r="B23" s="178" t="s">
        <v>14</v>
      </c>
      <c r="D23" s="148" t="s">
        <v>126</v>
      </c>
      <c r="E23" s="119"/>
    </row>
    <row r="24" spans="1:5" ht="15.75" customHeight="1" x14ac:dyDescent="0.2">
      <c r="A24" s="176">
        <v>20</v>
      </c>
      <c r="B24" s="178" t="s">
        <v>127</v>
      </c>
      <c r="D24" s="148" t="s">
        <v>128</v>
      </c>
      <c r="E24" s="119"/>
    </row>
    <row r="25" spans="1:5" ht="15.75" customHeight="1" x14ac:dyDescent="0.2">
      <c r="A25" s="176">
        <v>21</v>
      </c>
      <c r="B25" s="178" t="s">
        <v>29</v>
      </c>
      <c r="D25" s="148" t="s">
        <v>129</v>
      </c>
      <c r="E25" s="119"/>
    </row>
    <row r="26" spans="1:5" ht="15.75" customHeight="1" x14ac:dyDescent="0.2">
      <c r="A26" s="176">
        <v>22</v>
      </c>
      <c r="B26" s="178" t="s">
        <v>35</v>
      </c>
      <c r="D26" s="148" t="s">
        <v>130</v>
      </c>
      <c r="E26" s="119"/>
    </row>
    <row r="27" spans="1:5" ht="15.75" customHeight="1" x14ac:dyDescent="0.2">
      <c r="A27" s="176">
        <v>23</v>
      </c>
      <c r="B27" s="178" t="s">
        <v>23</v>
      </c>
      <c r="D27" s="148" t="s">
        <v>131</v>
      </c>
      <c r="E27" s="119"/>
    </row>
    <row r="28" spans="1:5" ht="15.75" customHeight="1" x14ac:dyDescent="0.2">
      <c r="A28" s="176">
        <v>24</v>
      </c>
      <c r="B28" s="178" t="s">
        <v>36</v>
      </c>
      <c r="D28" s="148" t="s">
        <v>132</v>
      </c>
      <c r="E28" s="119"/>
    </row>
    <row r="29" spans="1:5" ht="15.75" customHeight="1" x14ac:dyDescent="0.2">
      <c r="A29" s="176">
        <v>25</v>
      </c>
      <c r="B29" s="178" t="s">
        <v>30</v>
      </c>
      <c r="D29" s="148"/>
      <c r="E29" s="119"/>
    </row>
    <row r="30" spans="1:5" ht="15.75" customHeight="1" x14ac:dyDescent="0.2">
      <c r="A30" s="176">
        <v>28</v>
      </c>
      <c r="B30" s="178"/>
      <c r="D30" s="148"/>
      <c r="E30" s="119"/>
    </row>
    <row r="31" spans="1:5" ht="15.75" customHeight="1" x14ac:dyDescent="0.2">
      <c r="A31" s="176">
        <v>29</v>
      </c>
      <c r="B31" s="178"/>
      <c r="D31" s="148"/>
      <c r="E31" s="119"/>
    </row>
    <row r="32" spans="1:5" ht="15.75" customHeight="1" x14ac:dyDescent="0.2">
      <c r="A32" s="176">
        <v>30</v>
      </c>
      <c r="B32" s="178"/>
      <c r="D32" s="148"/>
      <c r="E32" s="119"/>
    </row>
    <row r="33" spans="1:5" ht="15.75" customHeight="1" x14ac:dyDescent="0.2">
      <c r="A33" s="176">
        <v>31</v>
      </c>
      <c r="B33" s="178"/>
      <c r="D33" s="148"/>
      <c r="E33" s="119"/>
    </row>
    <row r="34" spans="1:5" ht="15.75" customHeight="1" x14ac:dyDescent="0.2">
      <c r="A34" s="176">
        <v>32</v>
      </c>
      <c r="B34" s="178"/>
      <c r="D34" s="148"/>
      <c r="E34" s="119"/>
    </row>
    <row r="35" spans="1:5" ht="15.75" customHeight="1" x14ac:dyDescent="0.2">
      <c r="A35" s="176">
        <v>33</v>
      </c>
      <c r="B35" s="178"/>
      <c r="D35" s="148"/>
      <c r="E35" s="119"/>
    </row>
    <row r="36" spans="1:5" ht="15.75" customHeight="1" x14ac:dyDescent="0.2">
      <c r="A36" s="176">
        <v>34</v>
      </c>
      <c r="B36" s="178"/>
      <c r="D36" s="148"/>
      <c r="E36" s="119"/>
    </row>
    <row r="37" spans="1:5" ht="15.75" customHeight="1" x14ac:dyDescent="0.2">
      <c r="A37" s="176">
        <v>35</v>
      </c>
      <c r="B37" s="178"/>
      <c r="D37" s="148"/>
      <c r="E37" s="119"/>
    </row>
    <row r="38" spans="1:5" ht="15.75" customHeight="1" x14ac:dyDescent="0.2">
      <c r="A38" s="176">
        <v>36</v>
      </c>
      <c r="B38" s="178"/>
      <c r="D38" s="148"/>
      <c r="E38" s="119"/>
    </row>
    <row r="39" spans="1:5" ht="15.75" customHeight="1" x14ac:dyDescent="0.2">
      <c r="A39" s="176">
        <v>37</v>
      </c>
      <c r="B39" s="178"/>
      <c r="D39" s="148"/>
      <c r="E39" s="119"/>
    </row>
    <row r="40" spans="1:5" ht="15.75" customHeight="1" x14ac:dyDescent="0.2">
      <c r="A40" s="176">
        <v>38</v>
      </c>
      <c r="B40" s="178"/>
      <c r="D40" s="148"/>
      <c r="E40" s="119"/>
    </row>
    <row r="41" spans="1:5" ht="15.75" customHeight="1" x14ac:dyDescent="0.2">
      <c r="A41" s="176">
        <v>39</v>
      </c>
      <c r="B41" s="178"/>
      <c r="D41" s="148"/>
      <c r="E41" s="119"/>
    </row>
    <row r="42" spans="1:5" ht="15.75" customHeight="1" x14ac:dyDescent="0.2">
      <c r="A42" s="176">
        <v>40</v>
      </c>
      <c r="B42" s="179"/>
      <c r="D42" s="148"/>
      <c r="E42" s="119"/>
    </row>
    <row r="43" spans="1:5" ht="15.75" customHeight="1" x14ac:dyDescent="0.2">
      <c r="A43" s="176"/>
      <c r="D43" s="180"/>
      <c r="E43" s="119"/>
    </row>
    <row r="44" spans="1:5" ht="15.75" customHeight="1" x14ac:dyDescent="0.2">
      <c r="A44" s="176"/>
      <c r="B44" s="177" t="s">
        <v>65</v>
      </c>
      <c r="D44" s="148" t="s">
        <v>101</v>
      </c>
      <c r="E44" s="119"/>
    </row>
    <row r="45" spans="1:5" ht="15.75" customHeight="1" x14ac:dyDescent="0.2">
      <c r="A45" s="176">
        <v>1</v>
      </c>
      <c r="B45" s="178" t="s">
        <v>44</v>
      </c>
      <c r="D45" s="148" t="s">
        <v>133</v>
      </c>
      <c r="E45" s="119"/>
    </row>
    <row r="46" spans="1:5" ht="15.75" customHeight="1" x14ac:dyDescent="0.2">
      <c r="A46" s="176">
        <v>2</v>
      </c>
      <c r="B46" s="178" t="s">
        <v>42</v>
      </c>
      <c r="D46" s="180"/>
      <c r="E46" s="119"/>
    </row>
    <row r="47" spans="1:5" ht="15.75" customHeight="1" x14ac:dyDescent="0.2">
      <c r="A47" s="176">
        <v>3</v>
      </c>
      <c r="B47" s="178" t="s">
        <v>45</v>
      </c>
      <c r="D47" s="180"/>
      <c r="E47" s="119"/>
    </row>
    <row r="48" spans="1:5" ht="15.75" customHeight="1" x14ac:dyDescent="0.2">
      <c r="A48" s="176">
        <v>4</v>
      </c>
      <c r="B48" s="178"/>
      <c r="E48" s="119"/>
    </row>
    <row r="49" spans="1:5" ht="15.75" customHeight="1" x14ac:dyDescent="0.2">
      <c r="A49" s="176">
        <v>5</v>
      </c>
      <c r="B49" s="178"/>
      <c r="D49" s="180"/>
      <c r="E49" s="119"/>
    </row>
    <row r="50" spans="1:5" ht="15.75" customHeight="1" x14ac:dyDescent="0.2">
      <c r="A50" s="176">
        <v>6</v>
      </c>
      <c r="B50" s="178"/>
      <c r="D50" s="180"/>
      <c r="E50" s="119"/>
    </row>
    <row r="51" spans="1:5" ht="15.75" customHeight="1" x14ac:dyDescent="0.2">
      <c r="A51" s="176">
        <v>7</v>
      </c>
      <c r="B51" s="178"/>
      <c r="D51" s="180"/>
      <c r="E51" s="119"/>
    </row>
    <row r="52" spans="1:5" ht="15.75" customHeight="1" x14ac:dyDescent="0.2">
      <c r="A52" s="176">
        <v>8</v>
      </c>
      <c r="B52" s="178"/>
      <c r="D52" s="148"/>
      <c r="E52" s="119"/>
    </row>
    <row r="53" spans="1:5" ht="15.75" customHeight="1" x14ac:dyDescent="0.2">
      <c r="A53" s="176">
        <v>9</v>
      </c>
      <c r="B53" s="178"/>
      <c r="D53" s="148"/>
      <c r="E53" s="119"/>
    </row>
    <row r="54" spans="1:5" ht="15.75" customHeight="1" x14ac:dyDescent="0.2">
      <c r="A54" s="176">
        <v>10</v>
      </c>
      <c r="B54" s="178"/>
      <c r="E54" s="119"/>
    </row>
    <row r="55" spans="1:5" ht="15.75" customHeight="1" x14ac:dyDescent="0.2">
      <c r="A55" s="176">
        <v>11</v>
      </c>
      <c r="B55" s="178"/>
      <c r="E55" s="119"/>
    </row>
    <row r="56" spans="1:5" ht="15.75" customHeight="1" x14ac:dyDescent="0.2">
      <c r="A56" s="176">
        <v>12</v>
      </c>
      <c r="B56" s="178"/>
      <c r="E56" s="119"/>
    </row>
    <row r="57" spans="1:5" ht="15.75" customHeight="1" x14ac:dyDescent="0.2">
      <c r="A57" s="176">
        <v>13</v>
      </c>
      <c r="B57" s="178"/>
      <c r="E57" s="119"/>
    </row>
    <row r="58" spans="1:5" ht="15.75" customHeight="1" x14ac:dyDescent="0.2">
      <c r="A58" s="176">
        <v>14</v>
      </c>
      <c r="B58" s="178"/>
      <c r="E58" s="119"/>
    </row>
    <row r="59" spans="1:5" ht="15.75" customHeight="1" x14ac:dyDescent="0.2">
      <c r="A59" s="176">
        <v>15</v>
      </c>
      <c r="B59" s="179"/>
      <c r="E59" s="119"/>
    </row>
    <row r="60" spans="1:5" ht="15.75" customHeight="1" x14ac:dyDescent="0.2">
      <c r="A60" s="176"/>
      <c r="B60" s="181"/>
      <c r="E60" s="119"/>
    </row>
    <row r="61" spans="1:5" ht="15.75" customHeight="1" x14ac:dyDescent="0.2">
      <c r="A61" s="176"/>
      <c r="B61" s="177" t="s">
        <v>84</v>
      </c>
      <c r="D61" s="148" t="s">
        <v>101</v>
      </c>
      <c r="E61" s="182"/>
    </row>
    <row r="62" spans="1:5" ht="15.75" customHeight="1" x14ac:dyDescent="0.2">
      <c r="A62" s="176">
        <v>1</v>
      </c>
      <c r="B62" s="178" t="s">
        <v>48</v>
      </c>
      <c r="D62" s="148" t="s">
        <v>134</v>
      </c>
      <c r="E62" s="182"/>
    </row>
    <row r="63" spans="1:5" ht="15.75" customHeight="1" x14ac:dyDescent="0.2">
      <c r="A63" s="176">
        <v>2</v>
      </c>
      <c r="B63" s="178" t="s">
        <v>50</v>
      </c>
      <c r="D63" s="180"/>
      <c r="E63" s="182"/>
    </row>
    <row r="64" spans="1:5" ht="15.75" customHeight="1" x14ac:dyDescent="0.2">
      <c r="A64" s="176">
        <v>3</v>
      </c>
      <c r="B64" s="178"/>
      <c r="D64" s="180"/>
      <c r="E64" s="182"/>
    </row>
    <row r="65" spans="1:5" ht="15.75" customHeight="1" x14ac:dyDescent="0.2">
      <c r="A65" s="176">
        <v>4</v>
      </c>
      <c r="B65" s="178"/>
      <c r="E65" s="182"/>
    </row>
    <row r="66" spans="1:5" ht="15.75" customHeight="1" x14ac:dyDescent="0.2">
      <c r="A66" s="176">
        <v>5</v>
      </c>
      <c r="B66" s="178"/>
      <c r="D66" s="180"/>
      <c r="E66" s="182"/>
    </row>
    <row r="67" spans="1:5" ht="15.75" customHeight="1" x14ac:dyDescent="0.2">
      <c r="A67" s="176">
        <v>6</v>
      </c>
      <c r="B67" s="178"/>
      <c r="D67" s="180"/>
      <c r="E67" s="182"/>
    </row>
    <row r="68" spans="1:5" ht="15.75" customHeight="1" x14ac:dyDescent="0.2">
      <c r="A68" s="176">
        <v>7</v>
      </c>
      <c r="B68" s="178"/>
      <c r="D68" s="180"/>
      <c r="E68" s="182"/>
    </row>
    <row r="69" spans="1:5" ht="15.75" customHeight="1" x14ac:dyDescent="0.2">
      <c r="A69" s="176">
        <v>8</v>
      </c>
      <c r="B69" s="178"/>
      <c r="D69" s="148"/>
      <c r="E69" s="182"/>
    </row>
    <row r="70" spans="1:5" ht="15.75" customHeight="1" x14ac:dyDescent="0.2">
      <c r="A70" s="176">
        <v>9</v>
      </c>
      <c r="B70" s="178"/>
      <c r="D70" s="148"/>
      <c r="E70" s="182"/>
    </row>
    <row r="71" spans="1:5" ht="15.75" customHeight="1" x14ac:dyDescent="0.2">
      <c r="A71" s="176">
        <v>10</v>
      </c>
      <c r="B71" s="178"/>
      <c r="E71" s="182"/>
    </row>
    <row r="72" spans="1:5" ht="15.75" customHeight="1" x14ac:dyDescent="0.2">
      <c r="A72" s="176">
        <v>11</v>
      </c>
      <c r="B72" s="178"/>
      <c r="E72" s="182"/>
    </row>
    <row r="73" spans="1:5" ht="15.75" customHeight="1" x14ac:dyDescent="0.2">
      <c r="A73" s="176">
        <v>12</v>
      </c>
      <c r="B73" s="178"/>
      <c r="E73" s="182"/>
    </row>
    <row r="74" spans="1:5" ht="15.75" customHeight="1" x14ac:dyDescent="0.2">
      <c r="A74" s="176">
        <v>13</v>
      </c>
      <c r="B74" s="178"/>
      <c r="E74" s="182"/>
    </row>
    <row r="75" spans="1:5" ht="15.75" customHeight="1" x14ac:dyDescent="0.2">
      <c r="A75" s="176">
        <v>14</v>
      </c>
      <c r="B75" s="178"/>
      <c r="E75" s="182"/>
    </row>
    <row r="76" spans="1:5" ht="15.75" customHeight="1" x14ac:dyDescent="0.2">
      <c r="A76" s="176">
        <v>15</v>
      </c>
      <c r="B76" s="179"/>
      <c r="E76" s="182"/>
    </row>
    <row r="77" spans="1:5" ht="15.75" customHeight="1" x14ac:dyDescent="0.2">
      <c r="A77" s="176"/>
      <c r="B77" s="181"/>
      <c r="E77" s="182"/>
    </row>
    <row r="78" spans="1:5" ht="15.75" customHeight="1" x14ac:dyDescent="0.2">
      <c r="A78" s="183"/>
      <c r="B78" s="184"/>
      <c r="C78" s="185"/>
      <c r="D78" s="185"/>
      <c r="E78" s="182"/>
    </row>
    <row r="79" spans="1:5" ht="15.75" customHeight="1" x14ac:dyDescent="0.2">
      <c r="A79" s="183"/>
      <c r="B79" s="184"/>
      <c r="C79" s="185"/>
      <c r="D79" s="185"/>
      <c r="E79" s="182"/>
    </row>
    <row r="80" spans="1:5" ht="15.75" customHeight="1" x14ac:dyDescent="0.2">
      <c r="A80" s="183"/>
      <c r="B80" s="184"/>
      <c r="C80" s="185"/>
      <c r="D80" s="185"/>
      <c r="E80" s="182"/>
    </row>
    <row r="81" spans="1:5" ht="15.75" customHeight="1" x14ac:dyDescent="0.2">
      <c r="A81" s="183"/>
      <c r="B81" s="184"/>
      <c r="C81" s="185"/>
      <c r="D81" s="185"/>
      <c r="E81" s="182"/>
    </row>
    <row r="82" spans="1:5" ht="15.75" customHeight="1" x14ac:dyDescent="0.2">
      <c r="A82" s="183"/>
      <c r="B82" s="184"/>
      <c r="C82" s="185"/>
      <c r="D82" s="185"/>
      <c r="E82" s="182"/>
    </row>
    <row r="83" spans="1:5" ht="15.75" customHeight="1" x14ac:dyDescent="0.2">
      <c r="A83" s="183"/>
      <c r="B83" s="184"/>
      <c r="C83" s="185"/>
      <c r="D83" s="185"/>
      <c r="E83" s="182"/>
    </row>
    <row r="84" spans="1:5" ht="15.75" customHeight="1" x14ac:dyDescent="0.2">
      <c r="A84" s="183"/>
      <c r="B84" s="184"/>
      <c r="C84" s="185"/>
      <c r="D84" s="185"/>
      <c r="E84" s="182"/>
    </row>
    <row r="85" spans="1:5" ht="15.75" customHeight="1" x14ac:dyDescent="0.2">
      <c r="A85" s="183"/>
      <c r="B85" s="184"/>
      <c r="C85" s="185"/>
      <c r="D85" s="185"/>
      <c r="E85" s="182"/>
    </row>
    <row r="86" spans="1:5" ht="15.75" customHeight="1" x14ac:dyDescent="0.2">
      <c r="A86" s="183"/>
      <c r="B86" s="184"/>
      <c r="C86" s="185"/>
      <c r="D86" s="185"/>
      <c r="E86" s="182"/>
    </row>
    <row r="87" spans="1:5" ht="15.75" customHeight="1" x14ac:dyDescent="0.2">
      <c r="A87" s="183"/>
      <c r="B87" s="184"/>
      <c r="C87" s="185"/>
      <c r="D87" s="185"/>
      <c r="E87" s="182"/>
    </row>
    <row r="88" spans="1:5" ht="15.75" customHeight="1" x14ac:dyDescent="0.2">
      <c r="A88" s="183"/>
      <c r="B88" s="184"/>
      <c r="C88" s="185"/>
      <c r="D88" s="185"/>
      <c r="E88" s="182"/>
    </row>
    <row r="89" spans="1:5" ht="15.75" customHeight="1" x14ac:dyDescent="0.2">
      <c r="A89" s="183"/>
      <c r="B89" s="184"/>
      <c r="C89" s="185"/>
      <c r="D89" s="185"/>
      <c r="E89" s="182"/>
    </row>
    <row r="90" spans="1:5" ht="15.75" customHeight="1" x14ac:dyDescent="0.2">
      <c r="A90" s="183"/>
      <c r="B90" s="184"/>
      <c r="C90" s="185"/>
      <c r="D90" s="185"/>
      <c r="E90" s="182"/>
    </row>
    <row r="91" spans="1:5" ht="15.75" customHeight="1" x14ac:dyDescent="0.2">
      <c r="A91" s="183"/>
      <c r="B91" s="184"/>
      <c r="C91" s="185"/>
      <c r="D91" s="185"/>
      <c r="E91" s="182"/>
    </row>
    <row r="92" spans="1:5" ht="15.75" customHeight="1" x14ac:dyDescent="0.2">
      <c r="A92" s="183"/>
      <c r="B92" s="184"/>
      <c r="C92" s="185"/>
      <c r="D92" s="185"/>
      <c r="E92" s="182"/>
    </row>
    <row r="93" spans="1:5" ht="15.75" customHeight="1" x14ac:dyDescent="0.2">
      <c r="A93" s="183"/>
      <c r="B93" s="184"/>
      <c r="C93" s="185"/>
      <c r="D93" s="185"/>
      <c r="E93" s="182"/>
    </row>
    <row r="94" spans="1:5" ht="15.75" customHeight="1" x14ac:dyDescent="0.2">
      <c r="A94" s="183"/>
      <c r="B94" s="184"/>
      <c r="C94" s="185"/>
      <c r="D94" s="185"/>
      <c r="E94" s="182"/>
    </row>
    <row r="95" spans="1:5" ht="15.75" customHeight="1" x14ac:dyDescent="0.2">
      <c r="A95" s="183"/>
      <c r="B95" s="184"/>
      <c r="C95" s="185"/>
      <c r="D95" s="185"/>
      <c r="E95" s="182"/>
    </row>
    <row r="96" spans="1:5" ht="15.75" customHeight="1" x14ac:dyDescent="0.2">
      <c r="A96" s="183"/>
      <c r="B96" s="184"/>
      <c r="C96" s="185"/>
      <c r="D96" s="185"/>
      <c r="E96" s="182"/>
    </row>
    <row r="97" spans="1:5" ht="15.75" customHeight="1" x14ac:dyDescent="0.2">
      <c r="A97" s="183"/>
      <c r="B97" s="184"/>
      <c r="C97" s="185"/>
      <c r="D97" s="185"/>
      <c r="E97" s="182"/>
    </row>
    <row r="98" spans="1:5" ht="15.75" customHeight="1" x14ac:dyDescent="0.2">
      <c r="A98" s="183"/>
      <c r="B98" s="184"/>
      <c r="C98" s="185"/>
      <c r="D98" s="185"/>
      <c r="E98" s="182"/>
    </row>
    <row r="99" spans="1:5" ht="15.75" customHeight="1" x14ac:dyDescent="0.2">
      <c r="A99" s="183"/>
      <c r="B99" s="184"/>
      <c r="C99" s="185"/>
      <c r="D99" s="185"/>
      <c r="E99" s="182"/>
    </row>
    <row r="100" spans="1:5" ht="15.75" customHeight="1" x14ac:dyDescent="0.2">
      <c r="A100" s="183"/>
      <c r="B100" s="184"/>
      <c r="C100" s="185"/>
      <c r="D100" s="185"/>
      <c r="E100" s="182"/>
    </row>
    <row r="101" spans="1:5" ht="15.75" customHeight="1" x14ac:dyDescent="0.2">
      <c r="A101" s="183"/>
      <c r="B101" s="184"/>
      <c r="C101" s="185"/>
      <c r="D101" s="185"/>
      <c r="E101" s="182"/>
    </row>
    <row r="102" spans="1:5" ht="15.75" customHeight="1" x14ac:dyDescent="0.2">
      <c r="A102" s="183"/>
      <c r="B102" s="184"/>
      <c r="C102" s="185"/>
      <c r="D102" s="185"/>
      <c r="E102" s="182"/>
    </row>
    <row r="103" spans="1:5" ht="15.75" customHeight="1" x14ac:dyDescent="0.2">
      <c r="A103" s="183"/>
      <c r="B103" s="184"/>
      <c r="C103" s="185"/>
      <c r="D103" s="185"/>
      <c r="E103" s="182"/>
    </row>
    <row r="104" spans="1:5" ht="15.75" customHeight="1" x14ac:dyDescent="0.2">
      <c r="A104" s="183"/>
      <c r="B104" s="184"/>
      <c r="C104" s="185"/>
      <c r="D104" s="185"/>
      <c r="E104" s="182"/>
    </row>
    <row r="105" spans="1:5" ht="15.75" customHeight="1" x14ac:dyDescent="0.2">
      <c r="A105" s="183"/>
      <c r="B105" s="184"/>
      <c r="C105" s="185"/>
      <c r="D105" s="185"/>
      <c r="E105" s="182"/>
    </row>
    <row r="106" spans="1:5" ht="15.75" customHeight="1" x14ac:dyDescent="0.2">
      <c r="A106" s="183"/>
      <c r="B106" s="184"/>
      <c r="C106" s="185"/>
      <c r="D106" s="185"/>
      <c r="E106" s="182"/>
    </row>
    <row r="107" spans="1:5" ht="15.75" customHeight="1" x14ac:dyDescent="0.2">
      <c r="A107" s="183"/>
      <c r="B107" s="184"/>
      <c r="C107" s="185"/>
      <c r="D107" s="185"/>
      <c r="E107" s="182"/>
    </row>
    <row r="108" spans="1:5" ht="15.75" customHeight="1" x14ac:dyDescent="0.2">
      <c r="A108" s="183"/>
      <c r="B108" s="184"/>
      <c r="C108" s="185"/>
      <c r="D108" s="185"/>
      <c r="E108" s="182"/>
    </row>
    <row r="109" spans="1:5" ht="15.75" customHeight="1" x14ac:dyDescent="0.2">
      <c r="A109" s="183"/>
      <c r="B109" s="184"/>
      <c r="C109" s="185"/>
      <c r="D109" s="185"/>
      <c r="E109" s="182"/>
    </row>
    <row r="110" spans="1:5" ht="15.75" customHeight="1" x14ac:dyDescent="0.2">
      <c r="A110" s="183"/>
      <c r="B110" s="184"/>
      <c r="C110" s="185"/>
      <c r="D110" s="185"/>
      <c r="E110" s="182"/>
    </row>
    <row r="111" spans="1:5" ht="15.75" customHeight="1" x14ac:dyDescent="0.2">
      <c r="A111" s="183"/>
      <c r="B111" s="184"/>
      <c r="C111" s="185"/>
      <c r="D111" s="185"/>
      <c r="E111" s="182"/>
    </row>
    <row r="112" spans="1:5" ht="15.75" customHeight="1" x14ac:dyDescent="0.2">
      <c r="A112" s="183"/>
      <c r="B112" s="184"/>
      <c r="C112" s="185"/>
      <c r="D112" s="185"/>
      <c r="E112" s="182"/>
    </row>
    <row r="113" spans="1:5" ht="15.75" customHeight="1" x14ac:dyDescent="0.2">
      <c r="A113" s="183"/>
      <c r="B113" s="184"/>
      <c r="C113" s="185"/>
      <c r="D113" s="185"/>
      <c r="E113" s="182"/>
    </row>
    <row r="114" spans="1:5" ht="15.75" customHeight="1" x14ac:dyDescent="0.2">
      <c r="A114" s="183"/>
      <c r="B114" s="184"/>
      <c r="C114" s="185"/>
      <c r="D114" s="185"/>
      <c r="E114" s="182"/>
    </row>
    <row r="115" spans="1:5" ht="15.75" customHeight="1" x14ac:dyDescent="0.2">
      <c r="A115" s="183"/>
      <c r="B115" s="184"/>
      <c r="C115" s="185"/>
      <c r="D115" s="185"/>
      <c r="E115" s="182"/>
    </row>
    <row r="116" spans="1:5" ht="15.75" customHeight="1" x14ac:dyDescent="0.2">
      <c r="A116" s="183"/>
      <c r="B116" s="184"/>
      <c r="C116" s="185"/>
      <c r="D116" s="185"/>
      <c r="E116" s="182"/>
    </row>
    <row r="117" spans="1:5" ht="15.75" customHeight="1" x14ac:dyDescent="0.2">
      <c r="A117" s="183"/>
      <c r="B117" s="184"/>
      <c r="C117" s="185"/>
      <c r="D117" s="185"/>
      <c r="E117" s="182"/>
    </row>
    <row r="118" spans="1:5" ht="15.75" customHeight="1" x14ac:dyDescent="0.2">
      <c r="A118" s="183"/>
      <c r="B118" s="184"/>
      <c r="C118" s="185"/>
      <c r="D118" s="185"/>
      <c r="E118" s="182"/>
    </row>
    <row r="119" spans="1:5" ht="15.75" customHeight="1" x14ac:dyDescent="0.2">
      <c r="A119" s="183"/>
      <c r="B119" s="184"/>
      <c r="C119" s="185"/>
      <c r="D119" s="185"/>
      <c r="E119" s="182"/>
    </row>
    <row r="120" spans="1:5" ht="15.75" customHeight="1" x14ac:dyDescent="0.2">
      <c r="A120" s="183"/>
      <c r="B120" s="184"/>
      <c r="C120" s="185"/>
      <c r="D120" s="185"/>
      <c r="E120" s="182"/>
    </row>
    <row r="121" spans="1:5" ht="15.75" customHeight="1" x14ac:dyDescent="0.2">
      <c r="A121" s="183"/>
      <c r="B121" s="184"/>
      <c r="C121" s="185"/>
      <c r="D121" s="185"/>
      <c r="E121" s="182"/>
    </row>
    <row r="122" spans="1:5" ht="15.75" customHeight="1" x14ac:dyDescent="0.2">
      <c r="A122" s="183"/>
      <c r="B122" s="184" t="s">
        <v>135</v>
      </c>
      <c r="C122" s="185"/>
      <c r="D122" s="185"/>
      <c r="E122" s="182"/>
    </row>
    <row r="123" spans="1:5" ht="15.75" customHeight="1" x14ac:dyDescent="0.2">
      <c r="A123" s="183"/>
      <c r="B123" s="184"/>
      <c r="C123" s="185"/>
      <c r="D123" s="185"/>
      <c r="E123" s="182"/>
    </row>
    <row r="124" spans="1:5" ht="15.75" customHeight="1" x14ac:dyDescent="0.2">
      <c r="A124" s="183"/>
      <c r="B124" s="186" t="s">
        <v>136</v>
      </c>
      <c r="C124" s="185"/>
      <c r="D124" s="185"/>
      <c r="E124" s="182"/>
    </row>
    <row r="125" spans="1:5" ht="15.75" customHeight="1" x14ac:dyDescent="0.2">
      <c r="A125" s="183"/>
      <c r="B125" s="187"/>
      <c r="C125" s="185"/>
      <c r="D125" s="185"/>
      <c r="E125" s="182"/>
    </row>
    <row r="126" spans="1:5" ht="15.75" customHeight="1" x14ac:dyDescent="0.2">
      <c r="A126" s="183"/>
      <c r="B126" s="188" t="s">
        <v>137</v>
      </c>
      <c r="C126" s="182"/>
      <c r="D126" s="182"/>
      <c r="E126" s="182"/>
    </row>
    <row r="127" spans="1:5" ht="15.75" customHeight="1" x14ac:dyDescent="0.2">
      <c r="A127" s="183"/>
      <c r="B127" s="189">
        <f>MAX(A129:A168)</f>
        <v>27</v>
      </c>
      <c r="C127" s="182"/>
      <c r="D127" s="182"/>
      <c r="E127" s="182"/>
    </row>
    <row r="128" spans="1:5" ht="15.75" customHeight="1" x14ac:dyDescent="0.2">
      <c r="A128" s="183"/>
      <c r="B128" s="187"/>
      <c r="C128" s="182"/>
      <c r="D128" s="182"/>
      <c r="E128" s="182"/>
    </row>
    <row r="129" spans="1:5" ht="15.75" customHeight="1" x14ac:dyDescent="0.2">
      <c r="A129" s="183">
        <f>IF(B3="","",1)</f>
        <v>1</v>
      </c>
      <c r="B129" s="190" t="str">
        <f t="shared" ref="B129:B168" si="0">IF(B3="","",B3)</f>
        <v>Bills &amp; Utilities</v>
      </c>
      <c r="C129" s="182"/>
      <c r="D129" s="182"/>
      <c r="E129" s="182"/>
    </row>
    <row r="130" spans="1:5" ht="15.75" customHeight="1" x14ac:dyDescent="0.2">
      <c r="A130" s="183">
        <f t="shared" ref="A130:A168" si="1">IF(B130="","",MAX(A$129:A129)+1)</f>
        <v>2</v>
      </c>
      <c r="B130" s="191" t="str">
        <f t="shared" si="0"/>
        <v>Childcare &amp; Baby Needs</v>
      </c>
      <c r="C130" s="182"/>
      <c r="D130" s="182"/>
      <c r="E130" s="182"/>
    </row>
    <row r="131" spans="1:5" ht="15.75" customHeight="1" x14ac:dyDescent="0.2">
      <c r="A131" s="183">
        <f t="shared" si="1"/>
        <v>3</v>
      </c>
      <c r="B131" s="191" t="str">
        <f t="shared" si="0"/>
        <v>Commute</v>
      </c>
      <c r="C131" s="182"/>
      <c r="D131" s="182"/>
      <c r="E131" s="182"/>
    </row>
    <row r="132" spans="1:5" ht="15.75" customHeight="1" x14ac:dyDescent="0.2">
      <c r="A132" s="183">
        <f t="shared" si="1"/>
        <v>4</v>
      </c>
      <c r="B132" s="191" t="str">
        <f t="shared" si="0"/>
        <v>Education</v>
      </c>
      <c r="C132" s="182"/>
      <c r="D132" s="182"/>
      <c r="E132" s="182"/>
    </row>
    <row r="133" spans="1:5" ht="15.75" customHeight="1" x14ac:dyDescent="0.2">
      <c r="A133" s="183">
        <f t="shared" si="1"/>
        <v>5</v>
      </c>
      <c r="B133" s="191" t="str">
        <f t="shared" si="0"/>
        <v>Electronics &amp; Gadgets</v>
      </c>
      <c r="C133" s="182"/>
      <c r="D133" s="182"/>
      <c r="E133" s="182"/>
    </row>
    <row r="134" spans="1:5" ht="15.75" customHeight="1" x14ac:dyDescent="0.2">
      <c r="A134" s="183">
        <f t="shared" si="1"/>
        <v>6</v>
      </c>
      <c r="B134" s="191" t="str">
        <f t="shared" si="0"/>
        <v>Entertainment</v>
      </c>
      <c r="C134" s="182"/>
      <c r="D134" s="182"/>
      <c r="E134" s="182"/>
    </row>
    <row r="135" spans="1:5" ht="15.75" customHeight="1" x14ac:dyDescent="0.2">
      <c r="A135" s="183">
        <f t="shared" si="1"/>
        <v>7</v>
      </c>
      <c r="B135" s="191" t="str">
        <f t="shared" si="0"/>
        <v>Familly</v>
      </c>
      <c r="C135" s="182"/>
      <c r="D135" s="182"/>
      <c r="E135" s="182"/>
    </row>
    <row r="136" spans="1:5" ht="15.75" customHeight="1" x14ac:dyDescent="0.2">
      <c r="A136" s="183">
        <f t="shared" si="1"/>
        <v>8</v>
      </c>
      <c r="B136" s="191" t="str">
        <f t="shared" si="0"/>
        <v>Fitness</v>
      </c>
      <c r="C136" s="182"/>
      <c r="D136" s="182"/>
      <c r="E136" s="182"/>
    </row>
    <row r="137" spans="1:5" ht="15.75" customHeight="1" x14ac:dyDescent="0.2">
      <c r="A137" s="183">
        <f t="shared" si="1"/>
        <v>9</v>
      </c>
      <c r="B137" s="191" t="str">
        <f t="shared" si="0"/>
        <v>Snacks &amp; Quick Bites</v>
      </c>
      <c r="C137" s="182"/>
      <c r="D137" s="182"/>
      <c r="E137" s="182"/>
    </row>
    <row r="138" spans="1:5" ht="15.75" customHeight="1" x14ac:dyDescent="0.2">
      <c r="A138" s="183">
        <f t="shared" si="1"/>
        <v>10</v>
      </c>
      <c r="B138" s="191" t="str">
        <f t="shared" si="0"/>
        <v>Fuel</v>
      </c>
      <c r="C138" s="182"/>
      <c r="D138" s="182"/>
      <c r="E138" s="182"/>
    </row>
    <row r="139" spans="1:5" ht="15.75" customHeight="1" x14ac:dyDescent="0.2">
      <c r="A139" s="183">
        <f t="shared" si="1"/>
        <v>11</v>
      </c>
      <c r="B139" s="191" t="str">
        <f t="shared" si="0"/>
        <v>Gifts</v>
      </c>
      <c r="C139" s="182"/>
      <c r="D139" s="182"/>
      <c r="E139" s="182"/>
    </row>
    <row r="140" spans="1:5" ht="15.75" customHeight="1" x14ac:dyDescent="0.2">
      <c r="A140" s="183">
        <f t="shared" si="1"/>
        <v>12</v>
      </c>
      <c r="B140" s="191" t="str">
        <f t="shared" si="0"/>
        <v>Groceries</v>
      </c>
      <c r="C140" s="182"/>
      <c r="D140" s="182"/>
      <c r="E140" s="182"/>
    </row>
    <row r="141" spans="1:5" ht="15.75" customHeight="1" x14ac:dyDescent="0.2">
      <c r="A141" s="183">
        <f t="shared" si="1"/>
        <v>13</v>
      </c>
      <c r="B141" s="191" t="str">
        <f t="shared" si="0"/>
        <v>HouseHold</v>
      </c>
      <c r="C141" s="182"/>
      <c r="D141" s="182"/>
      <c r="E141" s="182"/>
    </row>
    <row r="142" spans="1:5" ht="15.75" customHeight="1" x14ac:dyDescent="0.2">
      <c r="A142" s="183">
        <f t="shared" si="1"/>
        <v>14</v>
      </c>
      <c r="B142" s="191" t="str">
        <f t="shared" si="0"/>
        <v>Insurance</v>
      </c>
      <c r="C142" s="182"/>
      <c r="D142" s="182"/>
      <c r="E142" s="182"/>
    </row>
    <row r="143" spans="1:5" ht="15.75" customHeight="1" x14ac:dyDescent="0.2">
      <c r="A143" s="183">
        <f t="shared" si="1"/>
        <v>15</v>
      </c>
      <c r="B143" s="191" t="str">
        <f t="shared" si="0"/>
        <v>Investments</v>
      </c>
      <c r="C143" s="182"/>
      <c r="D143" s="182"/>
      <c r="E143" s="182"/>
    </row>
    <row r="144" spans="1:5" ht="15.75" customHeight="1" x14ac:dyDescent="0.2">
      <c r="A144" s="183">
        <f t="shared" si="1"/>
        <v>16</v>
      </c>
      <c r="B144" s="191" t="str">
        <f t="shared" si="0"/>
        <v>Loans Given &amp; Taken</v>
      </c>
      <c r="C144" s="182"/>
      <c r="D144" s="182"/>
      <c r="E144" s="182"/>
    </row>
    <row r="145" spans="1:5" ht="15.75" customHeight="1" x14ac:dyDescent="0.2">
      <c r="A145" s="183">
        <f t="shared" si="1"/>
        <v>17</v>
      </c>
      <c r="B145" s="191" t="str">
        <f t="shared" si="0"/>
        <v>Medical</v>
      </c>
      <c r="C145" s="182"/>
      <c r="D145" s="182"/>
      <c r="E145" s="182"/>
    </row>
    <row r="146" spans="1:5" ht="15.75" customHeight="1" x14ac:dyDescent="0.2">
      <c r="A146" s="183">
        <f t="shared" si="1"/>
        <v>18</v>
      </c>
      <c r="B146" s="191" t="str">
        <f t="shared" si="0"/>
        <v>Personal Care</v>
      </c>
      <c r="C146" s="182"/>
      <c r="D146" s="182"/>
      <c r="E146" s="182"/>
    </row>
    <row r="147" spans="1:5" ht="15.75" customHeight="1" x14ac:dyDescent="0.2">
      <c r="A147" s="183">
        <f t="shared" si="1"/>
        <v>19</v>
      </c>
      <c r="B147" s="191" t="str">
        <f t="shared" si="0"/>
        <v>Rent</v>
      </c>
      <c r="C147" s="182"/>
      <c r="D147" s="182"/>
      <c r="E147" s="182"/>
    </row>
    <row r="148" spans="1:5" ht="15.75" customHeight="1" x14ac:dyDescent="0.2">
      <c r="A148" s="183">
        <f t="shared" si="1"/>
        <v>20</v>
      </c>
      <c r="B148" s="191" t="str">
        <f t="shared" si="0"/>
        <v>Repair &amp; Maintenance</v>
      </c>
      <c r="C148" s="182"/>
      <c r="D148" s="182"/>
      <c r="E148" s="182"/>
    </row>
    <row r="149" spans="1:5" ht="15.75" customHeight="1" x14ac:dyDescent="0.2">
      <c r="A149" s="183">
        <f t="shared" si="1"/>
        <v>21</v>
      </c>
      <c r="B149" s="191" t="str">
        <f t="shared" si="0"/>
        <v>Restaurant &amp; Dining Out</v>
      </c>
      <c r="C149" s="182"/>
      <c r="D149" s="182"/>
      <c r="E149" s="182"/>
    </row>
    <row r="150" spans="1:5" ht="15.75" customHeight="1" x14ac:dyDescent="0.2">
      <c r="A150" s="183">
        <f t="shared" si="1"/>
        <v>22</v>
      </c>
      <c r="B150" s="191" t="str">
        <f t="shared" si="0"/>
        <v>Self Transfers</v>
      </c>
      <c r="C150" s="182"/>
      <c r="D150" s="182"/>
      <c r="E150" s="182"/>
    </row>
    <row r="151" spans="1:5" ht="15.75" customHeight="1" x14ac:dyDescent="0.2">
      <c r="A151" s="183">
        <f t="shared" si="1"/>
        <v>23</v>
      </c>
      <c r="B151" s="191" t="str">
        <f t="shared" si="0"/>
        <v>Shopping</v>
      </c>
      <c r="C151" s="182"/>
      <c r="D151" s="182"/>
      <c r="E151" s="182"/>
    </row>
    <row r="152" spans="1:5" ht="15.75" customHeight="1" x14ac:dyDescent="0.2">
      <c r="A152" s="183">
        <f t="shared" si="1"/>
        <v>24</v>
      </c>
      <c r="B152" s="191" t="str">
        <f t="shared" si="0"/>
        <v>Subscriptions &amp; Memberships</v>
      </c>
      <c r="C152" s="182"/>
      <c r="D152" s="182"/>
      <c r="E152" s="182"/>
    </row>
    <row r="153" spans="1:5" ht="15.75" customHeight="1" x14ac:dyDescent="0.2">
      <c r="A153" s="183">
        <f t="shared" si="1"/>
        <v>25</v>
      </c>
      <c r="B153" s="191" t="str">
        <f t="shared" si="0"/>
        <v>Travel</v>
      </c>
      <c r="C153" s="182"/>
      <c r="D153" s="182"/>
      <c r="E153" s="182"/>
    </row>
    <row r="154" spans="1:5" ht="15.75" customHeight="1" x14ac:dyDescent="0.2">
      <c r="A154" s="183">
        <f t="shared" si="1"/>
        <v>26</v>
      </c>
      <c r="B154" s="191" t="str">
        <f t="shared" si="0"/>
        <v>Fines &amp; Penalties</v>
      </c>
      <c r="C154" s="182"/>
      <c r="D154" s="182"/>
      <c r="E154" s="182"/>
    </row>
    <row r="155" spans="1:5" ht="15.75" customHeight="1" x14ac:dyDescent="0.2">
      <c r="A155" s="183">
        <f t="shared" si="1"/>
        <v>27</v>
      </c>
      <c r="B155" s="191" t="str">
        <f t="shared" si="0"/>
        <v>Other</v>
      </c>
      <c r="C155" s="182"/>
      <c r="D155" s="182"/>
      <c r="E155" s="182"/>
    </row>
    <row r="156" spans="1:5" ht="15.75" customHeight="1" x14ac:dyDescent="0.2">
      <c r="A156" s="183" t="str">
        <f t="shared" si="1"/>
        <v/>
      </c>
      <c r="B156" s="191" t="str">
        <f t="shared" si="0"/>
        <v/>
      </c>
      <c r="C156" s="182"/>
      <c r="D156" s="182"/>
      <c r="E156" s="182"/>
    </row>
    <row r="157" spans="1:5" ht="15.75" customHeight="1" x14ac:dyDescent="0.2">
      <c r="A157" s="183" t="str">
        <f t="shared" si="1"/>
        <v/>
      </c>
      <c r="B157" s="191" t="str">
        <f t="shared" si="0"/>
        <v/>
      </c>
      <c r="C157" s="182"/>
      <c r="D157" s="182"/>
      <c r="E157" s="182"/>
    </row>
    <row r="158" spans="1:5" ht="15.75" customHeight="1" x14ac:dyDescent="0.2">
      <c r="A158" s="183" t="str">
        <f t="shared" si="1"/>
        <v/>
      </c>
      <c r="B158" s="191" t="str">
        <f t="shared" si="0"/>
        <v/>
      </c>
      <c r="C158" s="182"/>
      <c r="D158" s="182"/>
      <c r="E158" s="182"/>
    </row>
    <row r="159" spans="1:5" ht="15.75" customHeight="1" x14ac:dyDescent="0.2">
      <c r="A159" s="183" t="str">
        <f t="shared" si="1"/>
        <v/>
      </c>
      <c r="B159" s="191" t="str">
        <f t="shared" si="0"/>
        <v/>
      </c>
      <c r="C159" s="182"/>
      <c r="D159" s="182"/>
      <c r="E159" s="182"/>
    </row>
    <row r="160" spans="1:5" ht="15.75" customHeight="1" x14ac:dyDescent="0.2">
      <c r="A160" s="183" t="str">
        <f t="shared" si="1"/>
        <v/>
      </c>
      <c r="B160" s="191" t="str">
        <f t="shared" si="0"/>
        <v/>
      </c>
      <c r="C160" s="182"/>
      <c r="D160" s="182"/>
      <c r="E160" s="182"/>
    </row>
    <row r="161" spans="1:5" ht="15.75" customHeight="1" x14ac:dyDescent="0.2">
      <c r="A161" s="183" t="str">
        <f t="shared" si="1"/>
        <v/>
      </c>
      <c r="B161" s="191" t="str">
        <f t="shared" si="0"/>
        <v/>
      </c>
      <c r="C161" s="182"/>
      <c r="D161" s="182"/>
      <c r="E161" s="182"/>
    </row>
    <row r="162" spans="1:5" ht="15.75" customHeight="1" x14ac:dyDescent="0.2">
      <c r="A162" s="183" t="str">
        <f t="shared" si="1"/>
        <v/>
      </c>
      <c r="B162" s="191" t="str">
        <f t="shared" si="0"/>
        <v/>
      </c>
      <c r="C162" s="182"/>
      <c r="D162" s="182"/>
      <c r="E162" s="182"/>
    </row>
    <row r="163" spans="1:5" ht="15.75" customHeight="1" x14ac:dyDescent="0.2">
      <c r="A163" s="183" t="str">
        <f t="shared" si="1"/>
        <v/>
      </c>
      <c r="B163" s="191" t="str">
        <f t="shared" si="0"/>
        <v/>
      </c>
      <c r="C163" s="182"/>
      <c r="D163" s="182"/>
      <c r="E163" s="182"/>
    </row>
    <row r="164" spans="1:5" ht="15.75" customHeight="1" x14ac:dyDescent="0.2">
      <c r="A164" s="183" t="str">
        <f t="shared" si="1"/>
        <v/>
      </c>
      <c r="B164" s="191" t="str">
        <f t="shared" si="0"/>
        <v/>
      </c>
      <c r="C164" s="182"/>
      <c r="D164" s="182"/>
      <c r="E164" s="182"/>
    </row>
    <row r="165" spans="1:5" ht="15.75" customHeight="1" x14ac:dyDescent="0.2">
      <c r="A165" s="183" t="str">
        <f t="shared" si="1"/>
        <v/>
      </c>
      <c r="B165" s="191" t="str">
        <f t="shared" si="0"/>
        <v/>
      </c>
      <c r="C165" s="182"/>
      <c r="D165" s="182"/>
      <c r="E165" s="182"/>
    </row>
    <row r="166" spans="1:5" ht="15.75" customHeight="1" x14ac:dyDescent="0.2">
      <c r="A166" s="183" t="str">
        <f t="shared" si="1"/>
        <v/>
      </c>
      <c r="B166" s="191" t="str">
        <f t="shared" si="0"/>
        <v/>
      </c>
      <c r="C166" s="182"/>
      <c r="D166" s="182"/>
      <c r="E166" s="182"/>
    </row>
    <row r="167" spans="1:5" ht="15.75" customHeight="1" x14ac:dyDescent="0.2">
      <c r="A167" s="183" t="str">
        <f t="shared" si="1"/>
        <v/>
      </c>
      <c r="B167" s="191" t="str">
        <f t="shared" si="0"/>
        <v/>
      </c>
      <c r="C167" s="182"/>
      <c r="D167" s="182"/>
      <c r="E167" s="182"/>
    </row>
    <row r="168" spans="1:5" ht="15.75" customHeight="1" x14ac:dyDescent="0.2">
      <c r="A168" s="183" t="str">
        <f t="shared" si="1"/>
        <v/>
      </c>
      <c r="B168" s="192" t="str">
        <f t="shared" si="0"/>
        <v/>
      </c>
      <c r="C168" s="182"/>
      <c r="D168" s="182"/>
      <c r="E168" s="182"/>
    </row>
    <row r="169" spans="1:5" ht="15.75" customHeight="1" x14ac:dyDescent="0.2">
      <c r="A169" s="183"/>
      <c r="B169" s="187"/>
      <c r="C169" s="182"/>
      <c r="D169" s="182"/>
      <c r="E169" s="182"/>
    </row>
    <row r="170" spans="1:5" ht="15.75" customHeight="1" x14ac:dyDescent="0.2">
      <c r="A170" s="183"/>
      <c r="B170" s="186" t="s">
        <v>138</v>
      </c>
      <c r="C170" s="182"/>
      <c r="D170" s="182"/>
      <c r="E170" s="182"/>
    </row>
    <row r="171" spans="1:5" ht="15.75" customHeight="1" x14ac:dyDescent="0.2">
      <c r="A171" s="183"/>
      <c r="B171" s="187"/>
      <c r="C171" s="182"/>
      <c r="D171" s="182"/>
      <c r="E171" s="182"/>
    </row>
    <row r="172" spans="1:5" ht="15.75" customHeight="1" x14ac:dyDescent="0.2">
      <c r="A172" s="183"/>
      <c r="B172" s="188" t="s">
        <v>137</v>
      </c>
      <c r="C172" s="182"/>
      <c r="D172" s="182"/>
      <c r="E172" s="182"/>
    </row>
    <row r="173" spans="1:5" ht="15.75" customHeight="1" x14ac:dyDescent="0.2">
      <c r="A173" s="183"/>
      <c r="B173" s="189">
        <f>MAX(A175:A189)</f>
        <v>3</v>
      </c>
      <c r="C173" s="182"/>
      <c r="D173" s="182"/>
      <c r="E173" s="182"/>
    </row>
    <row r="174" spans="1:5" ht="15.75" customHeight="1" x14ac:dyDescent="0.2">
      <c r="A174" s="183"/>
      <c r="B174" s="187"/>
      <c r="C174" s="182"/>
      <c r="D174" s="182"/>
      <c r="E174" s="182"/>
    </row>
    <row r="175" spans="1:5" ht="15.75" customHeight="1" x14ac:dyDescent="0.2">
      <c r="A175" s="183">
        <f>IF(B45="","",1)</f>
        <v>1</v>
      </c>
      <c r="B175" s="190" t="str">
        <f t="shared" ref="B175:B189" si="2">IF(B45="","",B45)</f>
        <v>Expense Money</v>
      </c>
      <c r="C175" s="182"/>
      <c r="D175" s="182"/>
      <c r="E175" s="182"/>
    </row>
    <row r="176" spans="1:5" ht="15.75" customHeight="1" x14ac:dyDescent="0.2">
      <c r="A176" s="183">
        <f t="shared" ref="A176:A189" si="3">IF(B176="","",MAX(A$175:A175)+1)</f>
        <v>2</v>
      </c>
      <c r="B176" s="191" t="str">
        <f t="shared" si="2"/>
        <v>Job / Salary</v>
      </c>
      <c r="C176" s="182"/>
      <c r="D176" s="182"/>
      <c r="E176" s="182"/>
    </row>
    <row r="177" spans="1:5" ht="15.75" customHeight="1" x14ac:dyDescent="0.2">
      <c r="A177" s="183">
        <f t="shared" si="3"/>
        <v>3</v>
      </c>
      <c r="B177" s="191" t="str">
        <f t="shared" si="2"/>
        <v>Side Income</v>
      </c>
      <c r="C177" s="182"/>
      <c r="D177" s="182"/>
      <c r="E177" s="182"/>
    </row>
    <row r="178" spans="1:5" ht="15.75" customHeight="1" x14ac:dyDescent="0.2">
      <c r="A178" s="183" t="str">
        <f t="shared" si="3"/>
        <v/>
      </c>
      <c r="B178" s="191" t="str">
        <f t="shared" si="2"/>
        <v/>
      </c>
      <c r="C178" s="182"/>
      <c r="D178" s="182"/>
      <c r="E178" s="182"/>
    </row>
    <row r="179" spans="1:5" ht="15.75" customHeight="1" x14ac:dyDescent="0.2">
      <c r="A179" s="183" t="str">
        <f t="shared" si="3"/>
        <v/>
      </c>
      <c r="B179" s="191" t="str">
        <f t="shared" si="2"/>
        <v/>
      </c>
      <c r="C179" s="182"/>
      <c r="D179" s="182"/>
      <c r="E179" s="182"/>
    </row>
    <row r="180" spans="1:5" ht="15.75" customHeight="1" x14ac:dyDescent="0.2">
      <c r="A180" s="183" t="str">
        <f t="shared" si="3"/>
        <v/>
      </c>
      <c r="B180" s="191" t="str">
        <f t="shared" si="2"/>
        <v/>
      </c>
      <c r="C180" s="182"/>
      <c r="D180" s="182"/>
      <c r="E180" s="182"/>
    </row>
    <row r="181" spans="1:5" ht="15.75" customHeight="1" x14ac:dyDescent="0.2">
      <c r="A181" s="183" t="str">
        <f t="shared" si="3"/>
        <v/>
      </c>
      <c r="B181" s="191" t="str">
        <f t="shared" si="2"/>
        <v/>
      </c>
      <c r="C181" s="182"/>
      <c r="D181" s="182"/>
      <c r="E181" s="182"/>
    </row>
    <row r="182" spans="1:5" ht="15.75" customHeight="1" x14ac:dyDescent="0.2">
      <c r="A182" s="183" t="str">
        <f t="shared" si="3"/>
        <v/>
      </c>
      <c r="B182" s="191" t="str">
        <f t="shared" si="2"/>
        <v/>
      </c>
      <c r="C182" s="182"/>
      <c r="D182" s="182"/>
      <c r="E182" s="182"/>
    </row>
    <row r="183" spans="1:5" ht="15.75" customHeight="1" x14ac:dyDescent="0.2">
      <c r="A183" s="183" t="str">
        <f t="shared" si="3"/>
        <v/>
      </c>
      <c r="B183" s="191" t="str">
        <f t="shared" si="2"/>
        <v/>
      </c>
      <c r="C183" s="182"/>
      <c r="D183" s="182"/>
      <c r="E183" s="182"/>
    </row>
    <row r="184" spans="1:5" ht="15.75" customHeight="1" x14ac:dyDescent="0.2">
      <c r="A184" s="183" t="str">
        <f t="shared" si="3"/>
        <v/>
      </c>
      <c r="B184" s="191" t="str">
        <f t="shared" si="2"/>
        <v/>
      </c>
      <c r="C184" s="182"/>
      <c r="D184" s="182"/>
      <c r="E184" s="182"/>
    </row>
    <row r="185" spans="1:5" ht="15.75" customHeight="1" x14ac:dyDescent="0.2">
      <c r="A185" s="183" t="str">
        <f t="shared" si="3"/>
        <v/>
      </c>
      <c r="B185" s="191" t="str">
        <f t="shared" si="2"/>
        <v/>
      </c>
      <c r="C185" s="182"/>
      <c r="D185" s="182"/>
      <c r="E185" s="182"/>
    </row>
    <row r="186" spans="1:5" ht="15.75" customHeight="1" x14ac:dyDescent="0.2">
      <c r="A186" s="183" t="str">
        <f t="shared" si="3"/>
        <v/>
      </c>
      <c r="B186" s="191" t="str">
        <f t="shared" si="2"/>
        <v/>
      </c>
      <c r="C186" s="182"/>
      <c r="D186" s="182"/>
      <c r="E186" s="182"/>
    </row>
    <row r="187" spans="1:5" ht="15.75" customHeight="1" x14ac:dyDescent="0.2">
      <c r="A187" s="183" t="str">
        <f t="shared" si="3"/>
        <v/>
      </c>
      <c r="B187" s="191" t="str">
        <f t="shared" si="2"/>
        <v/>
      </c>
      <c r="C187" s="182"/>
      <c r="D187" s="182"/>
      <c r="E187" s="182"/>
    </row>
    <row r="188" spans="1:5" ht="15.75" customHeight="1" x14ac:dyDescent="0.2">
      <c r="A188" s="183" t="str">
        <f t="shared" si="3"/>
        <v/>
      </c>
      <c r="B188" s="191" t="str">
        <f t="shared" si="2"/>
        <v/>
      </c>
      <c r="C188" s="182"/>
      <c r="D188" s="182"/>
      <c r="E188" s="182"/>
    </row>
    <row r="189" spans="1:5" ht="15.75" customHeight="1" x14ac:dyDescent="0.2">
      <c r="A189" s="183" t="str">
        <f t="shared" si="3"/>
        <v/>
      </c>
      <c r="B189" s="192" t="str">
        <f t="shared" si="2"/>
        <v/>
      </c>
      <c r="C189" s="182"/>
      <c r="D189" s="182"/>
      <c r="E189" s="182"/>
    </row>
    <row r="190" spans="1:5" ht="15.75" customHeight="1" x14ac:dyDescent="0.2">
      <c r="A190" s="193"/>
      <c r="B190" s="182"/>
      <c r="C190" s="182"/>
      <c r="D190" s="182"/>
      <c r="E190" s="182"/>
    </row>
    <row r="191" spans="1:5" ht="15.75" customHeight="1" x14ac:dyDescent="0.2">
      <c r="A191" s="193"/>
      <c r="B191" s="186" t="s">
        <v>139</v>
      </c>
      <c r="C191" s="182"/>
      <c r="D191" s="182"/>
      <c r="E191" s="182"/>
    </row>
    <row r="192" spans="1:5" ht="15.75" customHeight="1" x14ac:dyDescent="0.2">
      <c r="A192" s="193"/>
      <c r="B192" s="187"/>
      <c r="C192" s="182"/>
      <c r="D192" s="182"/>
      <c r="E192" s="182"/>
    </row>
    <row r="193" spans="1:5" ht="15.75" customHeight="1" x14ac:dyDescent="0.2">
      <c r="A193" s="193"/>
      <c r="B193" s="188" t="s">
        <v>137</v>
      </c>
      <c r="C193" s="182"/>
      <c r="D193" s="182"/>
      <c r="E193" s="182"/>
    </row>
    <row r="194" spans="1:5" ht="15.75" customHeight="1" x14ac:dyDescent="0.2">
      <c r="A194" s="193"/>
      <c r="B194" s="189">
        <f>MAX(A196:A210)</f>
        <v>2</v>
      </c>
      <c r="C194" s="182"/>
      <c r="D194" s="182"/>
      <c r="E194" s="182"/>
    </row>
    <row r="195" spans="1:5" ht="15.75" customHeight="1" x14ac:dyDescent="0.2">
      <c r="A195" s="193"/>
      <c r="B195" s="187"/>
      <c r="C195" s="182"/>
      <c r="D195" s="182"/>
      <c r="E195" s="182"/>
    </row>
    <row r="196" spans="1:5" ht="15.75" customHeight="1" x14ac:dyDescent="0.2">
      <c r="A196" s="183">
        <f>IF(B196="","",1)</f>
        <v>1</v>
      </c>
      <c r="B196" s="190" t="str">
        <f t="shared" ref="B196:B204" si="4">IF(B62="","",B62)</f>
        <v>Personal SBI (Saving)</v>
      </c>
      <c r="C196" s="182"/>
      <c r="D196" s="182"/>
      <c r="E196" s="182"/>
    </row>
    <row r="197" spans="1:5" ht="15.75" customHeight="1" x14ac:dyDescent="0.2">
      <c r="A197" s="183">
        <f t="shared" ref="A197:A203" si="5">IF(B197="","",MAX(A$196:A196)+1)</f>
        <v>2</v>
      </c>
      <c r="B197" s="191" t="str">
        <f t="shared" si="4"/>
        <v>SBI FD</v>
      </c>
      <c r="C197" s="182"/>
      <c r="D197" s="182"/>
      <c r="E197" s="182"/>
    </row>
    <row r="198" spans="1:5" ht="15.75" customHeight="1" x14ac:dyDescent="0.2">
      <c r="A198" s="183" t="str">
        <f t="shared" si="5"/>
        <v/>
      </c>
      <c r="B198" s="191" t="str">
        <f t="shared" si="4"/>
        <v/>
      </c>
      <c r="C198" s="182"/>
      <c r="D198" s="182"/>
      <c r="E198" s="182"/>
    </row>
    <row r="199" spans="1:5" ht="15.75" customHeight="1" x14ac:dyDescent="0.2">
      <c r="A199" s="183" t="str">
        <f t="shared" si="5"/>
        <v/>
      </c>
      <c r="B199" s="191" t="str">
        <f t="shared" si="4"/>
        <v/>
      </c>
      <c r="C199" s="182"/>
      <c r="D199" s="182"/>
      <c r="E199" s="182"/>
    </row>
    <row r="200" spans="1:5" ht="15.75" customHeight="1" x14ac:dyDescent="0.2">
      <c r="A200" s="183" t="str">
        <f t="shared" si="5"/>
        <v/>
      </c>
      <c r="B200" s="191" t="str">
        <f t="shared" si="4"/>
        <v/>
      </c>
      <c r="C200" s="182"/>
      <c r="D200" s="182"/>
      <c r="E200" s="182"/>
    </row>
    <row r="201" spans="1:5" ht="15.75" customHeight="1" x14ac:dyDescent="0.2">
      <c r="A201" s="183" t="str">
        <f t="shared" si="5"/>
        <v/>
      </c>
      <c r="B201" s="191" t="str">
        <f t="shared" si="4"/>
        <v/>
      </c>
    </row>
    <row r="202" spans="1:5" ht="15.75" customHeight="1" x14ac:dyDescent="0.2">
      <c r="A202" s="183" t="str">
        <f t="shared" si="5"/>
        <v/>
      </c>
      <c r="B202" s="191" t="str">
        <f t="shared" si="4"/>
        <v/>
      </c>
    </row>
    <row r="203" spans="1:5" ht="15.75" customHeight="1" x14ac:dyDescent="0.2">
      <c r="A203" s="183" t="str">
        <f t="shared" si="5"/>
        <v/>
      </c>
      <c r="B203" s="191" t="str">
        <f t="shared" si="4"/>
        <v/>
      </c>
    </row>
    <row r="204" spans="1:5" ht="15.75" customHeight="1" x14ac:dyDescent="0.2">
      <c r="B204" s="191" t="str">
        <f t="shared" si="4"/>
        <v/>
      </c>
    </row>
    <row r="205" spans="1:5" ht="15.75" customHeight="1" x14ac:dyDescent="0.2">
      <c r="B205" s="191" t="str">
        <f t="shared" ref="B205:B210" si="6">IF(B75="","",B75)</f>
        <v/>
      </c>
    </row>
    <row r="206" spans="1:5" ht="15.75" customHeight="1" x14ac:dyDescent="0.2">
      <c r="B206" s="191" t="str">
        <f t="shared" si="6"/>
        <v/>
      </c>
    </row>
    <row r="207" spans="1:5" ht="15.75" customHeight="1" x14ac:dyDescent="0.2">
      <c r="B207" s="191" t="str">
        <f t="shared" si="6"/>
        <v/>
      </c>
    </row>
    <row r="208" spans="1:5" ht="15.75" customHeight="1" x14ac:dyDescent="0.2">
      <c r="B208" s="191" t="str">
        <f t="shared" si="6"/>
        <v/>
      </c>
    </row>
    <row r="209" spans="2:2" ht="15.75" customHeight="1" x14ac:dyDescent="0.2">
      <c r="B209" s="191" t="str">
        <f t="shared" si="6"/>
        <v/>
      </c>
    </row>
    <row r="210" spans="2:2" ht="15.75" customHeight="1" x14ac:dyDescent="0.2">
      <c r="B210" s="192" t="str">
        <f t="shared" si="6"/>
        <v/>
      </c>
    </row>
    <row r="211" spans="2:2" ht="15.75" customHeight="1" x14ac:dyDescent="0.2"/>
    <row r="212" spans="2:2" ht="15.75" customHeight="1" x14ac:dyDescent="0.2"/>
    <row r="213" spans="2:2" ht="15.75" customHeight="1" x14ac:dyDescent="0.2"/>
    <row r="214" spans="2:2" ht="15.75" customHeight="1" x14ac:dyDescent="0.2"/>
    <row r="215" spans="2:2" ht="15.75" customHeight="1" x14ac:dyDescent="0.2"/>
    <row r="216" spans="2:2" ht="15.75" customHeight="1" x14ac:dyDescent="0.2"/>
    <row r="217" spans="2:2" ht="15.75" customHeight="1" x14ac:dyDescent="0.2"/>
    <row r="218" spans="2:2" ht="15.75" customHeight="1" x14ac:dyDescent="0.2"/>
    <row r="219" spans="2:2" ht="15.75" customHeight="1" x14ac:dyDescent="0.2"/>
    <row r="220" spans="2:2" ht="15.75" customHeight="1" x14ac:dyDescent="0.2"/>
    <row r="221" spans="2:2" ht="15.75" customHeight="1" x14ac:dyDescent="0.2"/>
    <row r="222" spans="2:2" ht="15.75" customHeight="1" x14ac:dyDescent="0.2"/>
    <row r="223" spans="2:2" ht="15.75" customHeight="1" x14ac:dyDescent="0.2"/>
    <row r="224" spans="2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A1:Z1000"/>
  <sheetViews>
    <sheetView showGridLines="0" topLeftCell="A58" workbookViewId="0">
      <selection activeCell="B68" sqref="B68"/>
    </sheetView>
  </sheetViews>
  <sheetFormatPr defaultColWidth="12.5703125" defaultRowHeight="15" customHeight="1" x14ac:dyDescent="0.2"/>
  <cols>
    <col min="1" max="1" width="12.5703125" customWidth="1"/>
    <col min="2" max="7" width="25.140625" customWidth="1"/>
  </cols>
  <sheetData>
    <row r="1" spans="1:26" ht="15.75" customHeight="1" x14ac:dyDescent="0.2">
      <c r="A1" s="166"/>
      <c r="B1" s="166"/>
      <c r="C1" s="166"/>
      <c r="D1" s="166"/>
      <c r="E1" s="166"/>
      <c r="F1" s="166"/>
      <c r="G1" s="166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15.75" customHeight="1" x14ac:dyDescent="0.2">
      <c r="A2" s="166"/>
      <c r="B2" s="194" t="s">
        <v>140</v>
      </c>
      <c r="C2" s="195"/>
      <c r="D2" s="195"/>
      <c r="E2" s="195"/>
      <c r="F2" s="195"/>
      <c r="G2" s="195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15.75" customHeight="1" x14ac:dyDescent="0.2">
      <c r="A3" s="166"/>
      <c r="B3" s="166"/>
      <c r="C3" s="166"/>
      <c r="D3" s="166"/>
      <c r="E3" s="166"/>
      <c r="F3" s="166"/>
      <c r="G3" s="166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15.75" customHeight="1" x14ac:dyDescent="0.25">
      <c r="A4" s="166"/>
      <c r="B4" s="196" t="s">
        <v>141</v>
      </c>
      <c r="C4" s="196" t="s">
        <v>95</v>
      </c>
      <c r="D4" s="196" t="s">
        <v>96</v>
      </c>
      <c r="E4" s="196" t="s">
        <v>142</v>
      </c>
      <c r="F4" s="196" t="s">
        <v>92</v>
      </c>
      <c r="G4" s="196" t="s">
        <v>143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5.75" customHeight="1" x14ac:dyDescent="0.2">
      <c r="A5" s="166"/>
      <c r="B5" s="165" t="s">
        <v>144</v>
      </c>
      <c r="C5" s="197">
        <f>IFERROR(IF(MIN(Expenses!$B:$B)=0,"na",MIN(Expenses!$B:$B)),"na")</f>
        <v>45717</v>
      </c>
      <c r="D5" s="197">
        <f>IFERROR(IF(MIN(Income!$B:$B)=0,"na",MIN(Income!$B:$B)),"na")</f>
        <v>45717</v>
      </c>
      <c r="E5" s="198">
        <f>IFERROR(IF(MIN(C5:D5)=0,"na",MIN(C5:D5)),"na")</f>
        <v>45717</v>
      </c>
      <c r="F5" s="165">
        <f t="shared" ref="F5:F6" si="0">IFERROR(MONTH(E5),"na")</f>
        <v>3</v>
      </c>
      <c r="G5" s="165">
        <f t="shared" ref="G5:G6" si="1">IFERROR(YEAR(E5),"na")</f>
        <v>2025</v>
      </c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15.75" customHeight="1" x14ac:dyDescent="0.2">
      <c r="A6" s="166"/>
      <c r="B6" s="199" t="s">
        <v>145</v>
      </c>
      <c r="C6" s="200">
        <f>IFERROR(IF(MAX(Expenses!$B:$B)=0,"na",MAX(Expenses!$B:$B)),"na")</f>
        <v>45717</v>
      </c>
      <c r="D6" s="200">
        <f>IFERROR(IF(MAX(Income!$B:$B)=0,"na",MAX(Income!$B:$B)),"na")</f>
        <v>45717</v>
      </c>
      <c r="E6" s="201">
        <f>IFERROR(IF(MAX(C6:D6)=0,"na",MAX(C6:D6)),"na")</f>
        <v>45717</v>
      </c>
      <c r="F6" s="199">
        <f t="shared" si="0"/>
        <v>3</v>
      </c>
      <c r="G6" s="199">
        <f t="shared" si="1"/>
        <v>2025</v>
      </c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15.75" customHeight="1" x14ac:dyDescent="0.2">
      <c r="A7" s="166"/>
      <c r="B7" s="166"/>
      <c r="C7" s="166"/>
      <c r="D7" s="166"/>
      <c r="E7" s="166"/>
      <c r="F7" s="166"/>
      <c r="G7" s="166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ht="15.75" customHeight="1" x14ac:dyDescent="0.2">
      <c r="A8" s="166"/>
      <c r="B8" s="166"/>
      <c r="C8" s="166"/>
      <c r="D8" s="166"/>
      <c r="E8" s="166"/>
      <c r="F8" s="166"/>
      <c r="G8" s="166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5.75" customHeight="1" x14ac:dyDescent="0.2">
      <c r="A9" s="166"/>
      <c r="B9" s="194" t="s">
        <v>146</v>
      </c>
      <c r="C9" s="195"/>
      <c r="D9" s="195"/>
      <c r="E9" s="195"/>
      <c r="F9" s="166"/>
      <c r="G9" s="166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5.75" customHeight="1" x14ac:dyDescent="0.2">
      <c r="A10" s="166"/>
      <c r="B10" s="166"/>
      <c r="C10" s="166"/>
      <c r="D10" s="166"/>
      <c r="E10" s="166"/>
      <c r="F10" s="166"/>
      <c r="G10" s="166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5.75" customHeight="1" x14ac:dyDescent="0.25">
      <c r="A11" s="166"/>
      <c r="B11" s="202" t="s">
        <v>147</v>
      </c>
      <c r="C11" s="196" t="s">
        <v>93</v>
      </c>
      <c r="D11" s="196" t="s">
        <v>94</v>
      </c>
      <c r="E11" s="202" t="s">
        <v>148</v>
      </c>
      <c r="F11" s="166"/>
      <c r="G11" s="166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5.75" customHeight="1" x14ac:dyDescent="0.2">
      <c r="A12" s="166"/>
      <c r="B12" s="166" t="s">
        <v>149</v>
      </c>
      <c r="C12" s="198">
        <f>IFERROR(DATE(G6,F6,1),"na")</f>
        <v>45717</v>
      </c>
      <c r="D12" s="198">
        <f>IFERROR(EOMONTH(C12,0),"na")</f>
        <v>45747</v>
      </c>
      <c r="E12" s="96" t="str">
        <f>B12&amp;" ("&amp;TEXT(C12,"mmm-yy")&amp;")"</f>
        <v>Last month (Mar-25)</v>
      </c>
      <c r="F12" s="166"/>
      <c r="G12" s="166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5.75" customHeight="1" x14ac:dyDescent="0.2">
      <c r="A13" s="166"/>
      <c r="B13" s="203" t="s">
        <v>150</v>
      </c>
      <c r="C13" s="201">
        <f>IFERROR(DATE(YEAR($C$12),MONTH($C$12)-2,1),"na")</f>
        <v>45658</v>
      </c>
      <c r="D13" s="201">
        <f t="shared" ref="D13:D17" si="2">$D$12</f>
        <v>45747</v>
      </c>
      <c r="E13" s="204" t="str">
        <f t="shared" ref="E13:E17" si="3">B13&amp;" ("&amp;TEXT(C13,"mmm-yy")&amp;" to "&amp;TEXT(D13,"mmm-yy")&amp;")"</f>
        <v>Last 3 months (Jan-25 to Mar-25)</v>
      </c>
      <c r="F13" s="166"/>
      <c r="G13" s="166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5.75" customHeight="1" x14ac:dyDescent="0.2">
      <c r="A14" s="166"/>
      <c r="B14" s="203" t="s">
        <v>151</v>
      </c>
      <c r="C14" s="201">
        <f>IFERROR(DATE(YEAR($C$12),MONTH($C$12)-5,1),"na")</f>
        <v>45566</v>
      </c>
      <c r="D14" s="201">
        <f t="shared" si="2"/>
        <v>45747</v>
      </c>
      <c r="E14" s="204" t="str">
        <f t="shared" si="3"/>
        <v>Last 6 months (Oct-24 to Mar-25)</v>
      </c>
      <c r="F14" s="166"/>
      <c r="G14" s="166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5.75" customHeight="1" x14ac:dyDescent="0.2">
      <c r="A15" s="166"/>
      <c r="B15" s="203" t="s">
        <v>152</v>
      </c>
      <c r="C15" s="201">
        <f>IFERROR(DATE(YEAR($C$12),MONTH($C$12)-11,1),"na")</f>
        <v>45383</v>
      </c>
      <c r="D15" s="201">
        <f t="shared" si="2"/>
        <v>45747</v>
      </c>
      <c r="E15" s="204" t="str">
        <f t="shared" si="3"/>
        <v>Last 12 months (Apr-24 to Mar-25)</v>
      </c>
      <c r="F15" s="166"/>
      <c r="G15" s="166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5.75" customHeight="1" x14ac:dyDescent="0.2">
      <c r="A16" s="166"/>
      <c r="B16" s="203" t="s">
        <v>153</v>
      </c>
      <c r="C16" s="201">
        <f>IFERROR(DATE(G6,1,1),"na")</f>
        <v>45658</v>
      </c>
      <c r="D16" s="201">
        <f t="shared" si="2"/>
        <v>45747</v>
      </c>
      <c r="E16" s="204" t="str">
        <f t="shared" si="3"/>
        <v>Year to date (Jan-25 to Mar-25)</v>
      </c>
      <c r="F16" s="166"/>
      <c r="G16" s="166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5.75" customHeight="1" x14ac:dyDescent="0.2">
      <c r="A17" s="166"/>
      <c r="B17" s="203" t="s">
        <v>154</v>
      </c>
      <c r="C17" s="201">
        <f>IFERROR(DATE(G5,F5,1),"na")</f>
        <v>45717</v>
      </c>
      <c r="D17" s="201">
        <f t="shared" si="2"/>
        <v>45747</v>
      </c>
      <c r="E17" s="204" t="str">
        <f t="shared" si="3"/>
        <v>All (Mar-25 to Mar-25)</v>
      </c>
      <c r="F17" s="166"/>
      <c r="G17" s="166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5.75" customHeight="1" x14ac:dyDescent="0.2">
      <c r="A18" s="166"/>
      <c r="B18" s="203" t="s">
        <v>155</v>
      </c>
      <c r="C18" s="200" t="s">
        <v>174</v>
      </c>
      <c r="D18" s="200" t="s">
        <v>174</v>
      </c>
      <c r="E18" s="204" t="s">
        <v>155</v>
      </c>
      <c r="F18" s="166"/>
      <c r="G18" s="166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5.75" customHeight="1" x14ac:dyDescent="0.2">
      <c r="A19" s="166"/>
      <c r="B19" s="166"/>
      <c r="C19" s="166"/>
      <c r="D19" s="166"/>
      <c r="E19" s="166"/>
      <c r="F19" s="166"/>
      <c r="G19" s="166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5.75" customHeight="1" x14ac:dyDescent="0.2">
      <c r="A20" s="166"/>
      <c r="B20" s="166" t="s">
        <v>156</v>
      </c>
      <c r="C20" s="166"/>
      <c r="D20" s="166"/>
      <c r="E20" s="165" t="s">
        <v>157</v>
      </c>
      <c r="F20" s="166"/>
      <c r="G20" s="166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5.75" customHeight="1" x14ac:dyDescent="0.2">
      <c r="A21" s="165"/>
      <c r="B21" s="205">
        <f>DashBoard!C2</f>
        <v>0</v>
      </c>
      <c r="C21" s="206" t="str">
        <f t="shared" ref="C21:D21" si="4">IFERROR(INDEX(C12:C18,MATCH($B$21,$E$12:$E$18,0),0),"")</f>
        <v/>
      </c>
      <c r="D21" s="206" t="str">
        <f t="shared" si="4"/>
        <v/>
      </c>
      <c r="E21" s="207">
        <f>IFERROR(MAX(((YEAR(D21)-YEAR(C21))*12+MONTH(D21)-MONTH(C21)+1),1),1)</f>
        <v>1</v>
      </c>
      <c r="F21" s="166"/>
      <c r="G21" s="166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5.75" customHeight="1" x14ac:dyDescent="0.2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5.75" customHeight="1" x14ac:dyDescent="0.2">
      <c r="A23" s="119"/>
      <c r="B23" s="119" t="s">
        <v>158</v>
      </c>
      <c r="C23" s="208" t="str">
        <f>TEXT(E21,"#,##0")&amp;IF(ROUND(E21,0)=1," month"," months")</f>
        <v>1 month</v>
      </c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5.75" customHeight="1" x14ac:dyDescent="0.2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5.75" customHeight="1" x14ac:dyDescent="0.2">
      <c r="A25" s="119"/>
      <c r="B25" s="119" t="s">
        <v>159</v>
      </c>
      <c r="C25" s="208">
        <f>IFERROR(MAX((G6-G5)*12+(F6-F5)+1,1),1)</f>
        <v>1</v>
      </c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5.75" customHeight="1" x14ac:dyDescent="0.2">
      <c r="A26" s="119"/>
      <c r="B26" s="119" t="s">
        <v>160</v>
      </c>
      <c r="C26" s="208" t="str">
        <f>TEXT(C25,"#,##0")&amp;IF(ROUND(C25,0)=1," month"," months")</f>
        <v>1 month</v>
      </c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5.75" customHeight="1" x14ac:dyDescent="0.2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5.75" customHeight="1" x14ac:dyDescent="0.2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5.75" customHeight="1" x14ac:dyDescent="0.2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5.75" customHeight="1" x14ac:dyDescent="0.2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15.75" customHeight="1" x14ac:dyDescent="0.2">
      <c r="A31" s="119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5.75" customHeight="1" x14ac:dyDescent="0.2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15.75" customHeight="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5.75" customHeight="1" x14ac:dyDescent="0.2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5.75" customHeight="1" x14ac:dyDescent="0.2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5.75" customHeight="1" x14ac:dyDescent="0.2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5.75" customHeight="1" x14ac:dyDescent="0.2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5.75" customHeight="1" x14ac:dyDescent="0.2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5.75" customHeight="1" x14ac:dyDescent="0.2">
      <c r="A39" s="209"/>
      <c r="B39" s="210" t="s">
        <v>161</v>
      </c>
      <c r="C39" s="211"/>
      <c r="D39" s="211"/>
      <c r="E39" s="211"/>
      <c r="F39" s="211"/>
      <c r="G39" s="20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5.75" customHeight="1" x14ac:dyDescent="0.2">
      <c r="A40" s="209"/>
      <c r="B40" s="209"/>
      <c r="C40" s="209"/>
      <c r="D40" s="209"/>
      <c r="E40" s="209"/>
      <c r="F40" s="209"/>
      <c r="G40" s="20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5.75" customHeight="1" x14ac:dyDescent="0.2">
      <c r="A41" s="209"/>
      <c r="B41" s="209"/>
      <c r="C41" s="241" t="s">
        <v>162</v>
      </c>
      <c r="D41" s="242"/>
      <c r="E41" s="243" t="s">
        <v>163</v>
      </c>
      <c r="F41" s="242"/>
      <c r="G41" s="20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5.75" customHeight="1" x14ac:dyDescent="0.2">
      <c r="A42" s="209"/>
      <c r="B42" s="212" t="s">
        <v>164</v>
      </c>
      <c r="C42" s="213" t="s">
        <v>93</v>
      </c>
      <c r="D42" s="214" t="s">
        <v>94</v>
      </c>
      <c r="E42" s="215" t="s">
        <v>93</v>
      </c>
      <c r="F42" s="214" t="s">
        <v>94</v>
      </c>
      <c r="G42" s="20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5.75" customHeight="1" x14ac:dyDescent="0.2">
      <c r="A43" s="209"/>
      <c r="B43" s="144" t="s">
        <v>165</v>
      </c>
      <c r="C43" s="216">
        <f>IFERROR(DATE(YEAR(D44),MONTH(D44),1),"na")</f>
        <v>45717</v>
      </c>
      <c r="D43" s="217">
        <f>IFERROR(EOMONTH(E6,0),"na")</f>
        <v>45747</v>
      </c>
      <c r="E43" s="218">
        <f>DATE(YEAR(C43),MONTH(C43)-1,DAY(C43))</f>
        <v>45689</v>
      </c>
      <c r="F43" s="219">
        <f>EOMONTH(E43,0)</f>
        <v>45716</v>
      </c>
      <c r="G43" s="20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5.75" customHeight="1" x14ac:dyDescent="0.2">
      <c r="A44" s="209"/>
      <c r="B44" s="144" t="s">
        <v>166</v>
      </c>
      <c r="C44" s="216">
        <f>IFERROR(DATE(YEAR(D44),MONTH(D44),1),"na")</f>
        <v>45717</v>
      </c>
      <c r="D44" s="217">
        <f t="shared" ref="D44:D48" si="5">$D$43</f>
        <v>45747</v>
      </c>
      <c r="E44" s="218">
        <f t="shared" ref="E44:F44" si="6">DATE(YEAR(C44)-1,MONTH(C44),DAY(C44))</f>
        <v>45352</v>
      </c>
      <c r="F44" s="217">
        <f t="shared" si="6"/>
        <v>45382</v>
      </c>
      <c r="G44" s="20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5.75" customHeight="1" x14ac:dyDescent="0.2">
      <c r="A45" s="209"/>
      <c r="B45" s="144" t="s">
        <v>167</v>
      </c>
      <c r="C45" s="216">
        <f>IFERROR(DATE(YEAR(D45),MONTH(D45)-2,1),"na")</f>
        <v>45658</v>
      </c>
      <c r="D45" s="217">
        <f t="shared" si="5"/>
        <v>45747</v>
      </c>
      <c r="E45" s="218">
        <f t="shared" ref="E45:F45" si="7">DATE(YEAR(C45)-1,MONTH(C45),DAY(C45))</f>
        <v>45292</v>
      </c>
      <c r="F45" s="217">
        <f t="shared" si="7"/>
        <v>45382</v>
      </c>
      <c r="G45" s="20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5.75" customHeight="1" x14ac:dyDescent="0.2">
      <c r="A46" s="209"/>
      <c r="B46" s="144" t="s">
        <v>168</v>
      </c>
      <c r="C46" s="216">
        <f>IFERROR(DATE(YEAR(D46),MONTH(D46)-5,1),"na")</f>
        <v>45566</v>
      </c>
      <c r="D46" s="217">
        <f t="shared" si="5"/>
        <v>45747</v>
      </c>
      <c r="E46" s="218">
        <f t="shared" ref="E46:F46" si="8">DATE(YEAR(C46)-1,MONTH(C46),DAY(C46))</f>
        <v>45200</v>
      </c>
      <c r="F46" s="217">
        <f t="shared" si="8"/>
        <v>45382</v>
      </c>
      <c r="G46" s="20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5.75" customHeight="1" x14ac:dyDescent="0.2">
      <c r="A47" s="209"/>
      <c r="B47" s="144" t="s">
        <v>169</v>
      </c>
      <c r="C47" s="216">
        <f>IFERROR(DATE(YEAR(D47),MONTH(D47)-11,1),"na")</f>
        <v>45383</v>
      </c>
      <c r="D47" s="217">
        <f t="shared" si="5"/>
        <v>45747</v>
      </c>
      <c r="E47" s="218">
        <f t="shared" ref="E47:F47" si="9">DATE(YEAR(C47)-1,MONTH(C47),DAY(C47))</f>
        <v>45017</v>
      </c>
      <c r="F47" s="217">
        <f t="shared" si="9"/>
        <v>45382</v>
      </c>
      <c r="G47" s="20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5.75" customHeight="1" x14ac:dyDescent="0.2">
      <c r="A48" s="209"/>
      <c r="B48" s="144" t="s">
        <v>170</v>
      </c>
      <c r="C48" s="216">
        <f>IFERROR(DATE(YEAR(D48),1,1),"na")</f>
        <v>45658</v>
      </c>
      <c r="D48" s="217">
        <f t="shared" si="5"/>
        <v>45747</v>
      </c>
      <c r="E48" s="218">
        <f t="shared" ref="E48:F48" si="10">DATE(YEAR(C48)-1,MONTH(C48),DAY(C48))</f>
        <v>45292</v>
      </c>
      <c r="F48" s="217">
        <f t="shared" si="10"/>
        <v>45382</v>
      </c>
      <c r="G48" s="20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5.75" customHeight="1" x14ac:dyDescent="0.2">
      <c r="A49" s="209"/>
      <c r="B49" s="209" t="s">
        <v>155</v>
      </c>
      <c r="C49" s="220" t="e">
        <f>'[1]Historical Comparison'!J3</f>
        <v>#REF!</v>
      </c>
      <c r="D49" s="221" t="e">
        <f>'[1]Historical Comparison'!J4</f>
        <v>#REF!</v>
      </c>
      <c r="E49" s="222" t="e">
        <f>'[1]Historical Comparison'!K3</f>
        <v>#REF!</v>
      </c>
      <c r="F49" s="221" t="e">
        <f>'[1]Historical Comparison'!K4</f>
        <v>#REF!</v>
      </c>
      <c r="G49" s="20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5.75" customHeight="1" x14ac:dyDescent="0.2">
      <c r="A50" s="209"/>
      <c r="B50" s="209"/>
      <c r="C50" s="209"/>
      <c r="D50" s="209"/>
      <c r="E50" s="209"/>
      <c r="F50" s="209"/>
      <c r="G50" s="20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5.75" customHeight="1" x14ac:dyDescent="0.2">
      <c r="A51" s="223" t="e">
        <f>'[1]Historical Comparison'!C2</f>
        <v>#REF!</v>
      </c>
      <c r="B51" s="224" t="s">
        <v>156</v>
      </c>
      <c r="C51" s="209"/>
      <c r="D51" s="209"/>
      <c r="E51" s="176"/>
      <c r="F51" s="209"/>
      <c r="G51" s="176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5.75" customHeight="1" x14ac:dyDescent="0.2">
      <c r="A52" s="223" t="e">
        <f>MATCH($A$51,$B$43:$B$49,0)</f>
        <v>#REF!</v>
      </c>
      <c r="B52" s="225" t="e">
        <f ca="1">OFFSET(B$42,$A52,0)</f>
        <v>#REF!</v>
      </c>
      <c r="C52" s="226" t="str">
        <f ca="1">IFERROR(IF($A$52&lt;7,DATE(YEAR(OFFSET(C$42,$A52,0)),MONTH(OFFSET(C$42,$A52,0)),1),OFFSET(C$42,$A52,0)),"na")</f>
        <v>na</v>
      </c>
      <c r="D52" s="227" t="str">
        <f ca="1">IFERROR(IF($A$52&lt;7,EOMONTH(OFFSET(D$42,$A52,0),0),OFFSET(D$42,$A52,0)),"na")</f>
        <v>na</v>
      </c>
      <c r="E52" s="226" t="str">
        <f ca="1">IFERROR(IF($A$52&lt;7,DATE(YEAR(OFFSET(E$42,$A52,0)),MONTH(OFFSET(E$42,$A52,0)),1),OFFSET(E$42,$A52,0)),"na")</f>
        <v>na</v>
      </c>
      <c r="F52" s="227" t="str">
        <f ca="1">IFERROR(IF($A$52&lt;7,EOMONTH(OFFSET(F$42,$A52,0),0),OFFSET(F$42,$A52,0)),"na")</f>
        <v>na</v>
      </c>
      <c r="G52" s="176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5.75" customHeight="1" x14ac:dyDescent="0.2">
      <c r="A53" s="209"/>
      <c r="B53" s="209"/>
      <c r="C53" s="21"/>
      <c r="D53" s="21"/>
      <c r="E53" s="209"/>
      <c r="F53" s="209"/>
      <c r="G53" s="20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5.75" customHeight="1" x14ac:dyDescent="0.2">
      <c r="A54" s="209"/>
      <c r="B54" s="209"/>
      <c r="C54" s="209"/>
      <c r="D54" s="209"/>
      <c r="E54" s="209"/>
      <c r="F54" s="209"/>
      <c r="G54" s="20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5.75" customHeight="1" x14ac:dyDescent="0.2">
      <c r="A55" s="209"/>
      <c r="B55" s="228" t="s">
        <v>54</v>
      </c>
      <c r="C55" s="209"/>
      <c r="D55" s="176">
        <f ca="1">IFERROR(MAX(ROUND((D52-C52+1)/(365/12),1),0),0)</f>
        <v>0</v>
      </c>
      <c r="E55" s="176"/>
      <c r="F55" s="176">
        <f ca="1">IFERROR(MAX(ROUND((F52-E52+1)/(365/12),1),0),0)</f>
        <v>0</v>
      </c>
      <c r="G55" s="20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5.75" customHeight="1" x14ac:dyDescent="0.2">
      <c r="A56" s="209"/>
      <c r="B56" s="228" t="s">
        <v>171</v>
      </c>
      <c r="C56" s="209"/>
      <c r="D56" s="176" t="str">
        <f ca="1">IF(D55=1,TEXT(C52,"mmmm-yyyy"),TEXT(C52,"mmm-yyyy")&amp;" to "&amp;TEXT(D52,"mmm-yyyy"))</f>
        <v>na to na</v>
      </c>
      <c r="E56" s="176"/>
      <c r="F56" s="176" t="str">
        <f ca="1">IF(F55=1,TEXT(E52,"mmmm-yyyy"),TEXT(E52,"mmm-yyyy")&amp;" to "&amp;TEXT(F52,"mmm-yyyy"))</f>
        <v>na to na</v>
      </c>
      <c r="G56" s="20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5.75" customHeight="1" x14ac:dyDescent="0.2">
      <c r="A57" s="209"/>
      <c r="B57" s="209" t="s">
        <v>172</v>
      </c>
      <c r="C57" s="209"/>
      <c r="D57" s="21" t="str">
        <f ca="1">IF(D55=1,"(1 month)","("&amp;TEXT(D55,"0")&amp;" months)")</f>
        <v>(0 months)</v>
      </c>
      <c r="E57" s="209"/>
      <c r="F57" s="21" t="str">
        <f ca="1">IF(F55=1,"(1 month)","("&amp;TEXT(F55,"0")&amp;" months)")</f>
        <v>(0 months)</v>
      </c>
      <c r="G57" s="20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5.75" customHeight="1" x14ac:dyDescent="0.2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5.75" customHeight="1" x14ac:dyDescent="0.2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5.75" customHeight="1" x14ac:dyDescent="0.2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5.75" customHeight="1" x14ac:dyDescent="0.2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.75" customHeight="1" x14ac:dyDescent="0.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5.75" customHeight="1" x14ac:dyDescent="0.2">
      <c r="A63" s="119"/>
      <c r="B63" s="210" t="s">
        <v>173</v>
      </c>
      <c r="C63" s="211"/>
      <c r="D63" s="211"/>
      <c r="E63" s="211"/>
      <c r="F63" s="211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5.75" customHeight="1" x14ac:dyDescent="0.2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5.75" customHeight="1" x14ac:dyDescent="0.2">
      <c r="A65" s="22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5.75" customHeight="1" x14ac:dyDescent="0.2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5.75" customHeight="1" x14ac:dyDescent="0.2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5.75" customHeight="1" x14ac:dyDescent="0.2">
      <c r="A68" s="119"/>
      <c r="B68" s="230"/>
      <c r="C68" s="230"/>
      <c r="D68" s="230"/>
      <c r="E68" s="119"/>
      <c r="F68" s="230"/>
      <c r="G68" s="230"/>
      <c r="H68" s="230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5.75" customHeight="1" x14ac:dyDescent="0.2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5.75" customHeight="1" x14ac:dyDescent="0.2">
      <c r="A70" s="119"/>
      <c r="B70" s="230"/>
      <c r="C70" s="119"/>
      <c r="D70" s="119"/>
      <c r="E70" s="119"/>
      <c r="F70" s="230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5.75" customHeight="1" x14ac:dyDescent="0.2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5.75" customHeight="1" x14ac:dyDescent="0.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5.75" customHeight="1" x14ac:dyDescent="0.2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5.75" customHeight="1" x14ac:dyDescent="0.2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5.75" customHeight="1" x14ac:dyDescent="0.2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5.75" customHeight="1" x14ac:dyDescent="0.2">
      <c r="A76" s="119"/>
      <c r="B76" s="119"/>
      <c r="C76" s="119"/>
      <c r="D76" s="230"/>
      <c r="E76" s="230"/>
      <c r="F76" s="230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5.75" customHeight="1" x14ac:dyDescent="0.2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5.75" customHeight="1" x14ac:dyDescent="0.2">
      <c r="A78" s="119"/>
      <c r="B78" s="119"/>
      <c r="C78" s="119"/>
      <c r="D78" s="230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5.75" customHeight="1" x14ac:dyDescent="0.2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5.75" customHeight="1" x14ac:dyDescent="0.2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5.75" customHeight="1" x14ac:dyDescent="0.2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5.75" customHeight="1" x14ac:dyDescent="0.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5.75" customHeight="1" x14ac:dyDescent="0.2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5.75" customHeight="1" x14ac:dyDescent="0.2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5.75" customHeight="1" x14ac:dyDescent="0.2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5.75" customHeight="1" x14ac:dyDescent="0.2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5.75" customHeight="1" x14ac:dyDescent="0.2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5.75" customHeight="1" x14ac:dyDescent="0.2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5.75" customHeight="1" x14ac:dyDescent="0.2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5.75" customHeight="1" x14ac:dyDescent="0.2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5.75" customHeight="1" x14ac:dyDescent="0.2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5.75" customHeight="1" x14ac:dyDescent="0.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5.75" customHeight="1" x14ac:dyDescent="0.2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5.75" customHeight="1" x14ac:dyDescent="0.2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5.75" customHeight="1" x14ac:dyDescent="0.2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5.75" customHeight="1" x14ac:dyDescent="0.2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5.75" customHeight="1" x14ac:dyDescent="0.2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5.75" customHeight="1" x14ac:dyDescent="0.2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5.75" customHeight="1" x14ac:dyDescent="0.2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5.75" customHeight="1" x14ac:dyDescent="0.2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5.75" customHeight="1" x14ac:dyDescent="0.2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5.75" customHeight="1" x14ac:dyDescent="0.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5.75" customHeight="1" x14ac:dyDescent="0.2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5.75" customHeight="1" x14ac:dyDescent="0.2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5.75" customHeight="1" x14ac:dyDescent="0.2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5.75" customHeight="1" x14ac:dyDescent="0.2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5.75" customHeight="1" x14ac:dyDescent="0.2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5.75" customHeight="1" x14ac:dyDescent="0.2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5.75" customHeight="1" x14ac:dyDescent="0.2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5.75" customHeight="1" x14ac:dyDescent="0.2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5.75" customHeight="1" x14ac:dyDescent="0.2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5.75" customHeight="1" x14ac:dyDescent="0.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5.75" customHeight="1" x14ac:dyDescent="0.2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5.75" customHeight="1" x14ac:dyDescent="0.2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5.75" customHeight="1" x14ac:dyDescent="0.2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5.75" customHeight="1" x14ac:dyDescent="0.2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5.75" customHeight="1" x14ac:dyDescent="0.2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5.75" customHeight="1" x14ac:dyDescent="0.2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5.75" customHeight="1" x14ac:dyDescent="0.2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5.75" customHeight="1" x14ac:dyDescent="0.2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5.75" customHeight="1" x14ac:dyDescent="0.2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5.75" customHeight="1" x14ac:dyDescent="0.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5.75" customHeight="1" x14ac:dyDescent="0.2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5.75" customHeight="1" x14ac:dyDescent="0.2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5.75" customHeight="1" x14ac:dyDescent="0.2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5.75" customHeight="1" x14ac:dyDescent="0.2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5.75" customHeight="1" x14ac:dyDescent="0.2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5.75" customHeight="1" x14ac:dyDescent="0.2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5.75" customHeight="1" x14ac:dyDescent="0.2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5.75" customHeight="1" x14ac:dyDescent="0.2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5.75" customHeight="1" x14ac:dyDescent="0.2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5.75" customHeight="1" x14ac:dyDescent="0.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5.75" customHeight="1" x14ac:dyDescent="0.2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5.75" customHeight="1" x14ac:dyDescent="0.2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5.75" customHeight="1" x14ac:dyDescent="0.2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5.75" customHeight="1" x14ac:dyDescent="0.2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5.75" customHeight="1" x14ac:dyDescent="0.2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5.75" customHeight="1" x14ac:dyDescent="0.2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5.75" customHeight="1" x14ac:dyDescent="0.2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5.75" customHeight="1" x14ac:dyDescent="0.2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5.75" customHeight="1" x14ac:dyDescent="0.2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5.75" customHeight="1" x14ac:dyDescent="0.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5.75" customHeight="1" x14ac:dyDescent="0.2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5.75" customHeight="1" x14ac:dyDescent="0.2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5.75" customHeight="1" x14ac:dyDescent="0.2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5.75" customHeight="1" x14ac:dyDescent="0.2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5.75" customHeight="1" x14ac:dyDescent="0.2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5.75" customHeight="1" x14ac:dyDescent="0.2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5.75" customHeight="1" x14ac:dyDescent="0.2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5.75" customHeight="1" x14ac:dyDescent="0.2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5.75" customHeight="1" x14ac:dyDescent="0.2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5.75" customHeight="1" x14ac:dyDescent="0.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5.75" customHeight="1" x14ac:dyDescent="0.2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5.75" customHeight="1" x14ac:dyDescent="0.2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5.75" customHeight="1" x14ac:dyDescent="0.2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5.75" customHeight="1" x14ac:dyDescent="0.2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5.75" customHeight="1" x14ac:dyDescent="0.2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5.75" customHeight="1" x14ac:dyDescent="0.2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5.75" customHeight="1" x14ac:dyDescent="0.2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5.75" customHeight="1" x14ac:dyDescent="0.2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5.75" customHeight="1" x14ac:dyDescent="0.2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5.75" customHeight="1" x14ac:dyDescent="0.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5.75" customHeight="1" x14ac:dyDescent="0.2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5.75" customHeight="1" x14ac:dyDescent="0.2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5.75" customHeight="1" x14ac:dyDescent="0.2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5.75" customHeight="1" x14ac:dyDescent="0.2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5.75" customHeight="1" x14ac:dyDescent="0.2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5.75" customHeight="1" x14ac:dyDescent="0.2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5.75" customHeight="1" x14ac:dyDescent="0.2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5.75" customHeight="1" x14ac:dyDescent="0.2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5.75" customHeight="1" x14ac:dyDescent="0.2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5.75" customHeight="1" x14ac:dyDescent="0.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5.75" customHeight="1" x14ac:dyDescent="0.2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5.75" customHeight="1" x14ac:dyDescent="0.2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5.75" customHeight="1" x14ac:dyDescent="0.2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5.75" customHeight="1" x14ac:dyDescent="0.2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5.75" customHeight="1" x14ac:dyDescent="0.2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5.75" customHeight="1" x14ac:dyDescent="0.2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5.75" customHeight="1" x14ac:dyDescent="0.2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5.75" customHeight="1" x14ac:dyDescent="0.2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5.75" customHeight="1" x14ac:dyDescent="0.2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5.75" customHeight="1" x14ac:dyDescent="0.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5.75" customHeight="1" x14ac:dyDescent="0.2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5.75" customHeight="1" x14ac:dyDescent="0.2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5.75" customHeight="1" x14ac:dyDescent="0.2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5.75" customHeight="1" x14ac:dyDescent="0.2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5.75" customHeight="1" x14ac:dyDescent="0.2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5.75" customHeight="1" x14ac:dyDescent="0.2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5.75" customHeight="1" x14ac:dyDescent="0.2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5.75" customHeight="1" x14ac:dyDescent="0.2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5.75" customHeight="1" x14ac:dyDescent="0.2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5.75" customHeight="1" x14ac:dyDescent="0.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5.75" customHeight="1" x14ac:dyDescent="0.2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5.75" customHeight="1" x14ac:dyDescent="0.2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5.75" customHeight="1" x14ac:dyDescent="0.2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5.75" customHeight="1" x14ac:dyDescent="0.2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5.75" customHeight="1" x14ac:dyDescent="0.2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5.75" customHeight="1" x14ac:dyDescent="0.2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5.75" customHeight="1" x14ac:dyDescent="0.2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5.75" customHeight="1" x14ac:dyDescent="0.2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5.75" customHeight="1" x14ac:dyDescent="0.2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5.75" customHeight="1" x14ac:dyDescent="0.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5.75" customHeight="1" x14ac:dyDescent="0.2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5.75" customHeight="1" x14ac:dyDescent="0.2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5.75" customHeight="1" x14ac:dyDescent="0.2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5.75" customHeight="1" x14ac:dyDescent="0.2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5.75" customHeight="1" x14ac:dyDescent="0.2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5.75" customHeight="1" x14ac:dyDescent="0.2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5.75" customHeight="1" x14ac:dyDescent="0.2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5.75" customHeight="1" x14ac:dyDescent="0.2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5.75" customHeight="1" x14ac:dyDescent="0.2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5.75" customHeight="1" x14ac:dyDescent="0.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5.75" customHeight="1" x14ac:dyDescent="0.2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5.75" customHeight="1" x14ac:dyDescent="0.2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5.75" customHeight="1" x14ac:dyDescent="0.2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5.75" customHeight="1" x14ac:dyDescent="0.2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5.75" customHeight="1" x14ac:dyDescent="0.2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5.75" customHeight="1" x14ac:dyDescent="0.2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5.75" customHeight="1" x14ac:dyDescent="0.2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5.75" customHeight="1" x14ac:dyDescent="0.2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5.75" customHeight="1" x14ac:dyDescent="0.2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5.75" customHeight="1" x14ac:dyDescent="0.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5.75" customHeight="1" x14ac:dyDescent="0.2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5.75" customHeight="1" x14ac:dyDescent="0.2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5.75" customHeight="1" x14ac:dyDescent="0.2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5.75" customHeight="1" x14ac:dyDescent="0.2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5.75" customHeight="1" x14ac:dyDescent="0.2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5.75" customHeight="1" x14ac:dyDescent="0.2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5.75" customHeight="1" x14ac:dyDescent="0.2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5.75" customHeight="1" x14ac:dyDescent="0.2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5.75" customHeight="1" x14ac:dyDescent="0.2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5.75" customHeight="1" x14ac:dyDescent="0.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5.75" customHeight="1" x14ac:dyDescent="0.2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5.75" customHeight="1" x14ac:dyDescent="0.2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5.75" customHeight="1" x14ac:dyDescent="0.2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5.75" customHeight="1" x14ac:dyDescent="0.2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5.75" customHeight="1" x14ac:dyDescent="0.2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5.75" customHeight="1" x14ac:dyDescent="0.2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5.75" customHeight="1" x14ac:dyDescent="0.2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5.75" customHeight="1" x14ac:dyDescent="0.2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5.75" customHeight="1" x14ac:dyDescent="0.2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5.75" customHeight="1" x14ac:dyDescent="0.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5.75" customHeight="1" x14ac:dyDescent="0.2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5.75" customHeight="1" x14ac:dyDescent="0.2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5.75" customHeight="1" x14ac:dyDescent="0.2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5.75" customHeight="1" x14ac:dyDescent="0.2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5.75" customHeight="1" x14ac:dyDescent="0.2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5.75" customHeight="1" x14ac:dyDescent="0.2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5.75" customHeight="1" x14ac:dyDescent="0.2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5.75" customHeight="1" x14ac:dyDescent="0.2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5.75" customHeight="1" x14ac:dyDescent="0.2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5.75" customHeight="1" x14ac:dyDescent="0.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5.75" customHeight="1" x14ac:dyDescent="0.2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5.75" customHeight="1" x14ac:dyDescent="0.2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5.75" customHeight="1" x14ac:dyDescent="0.2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5.75" customHeight="1" x14ac:dyDescent="0.2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5.75" customHeight="1" x14ac:dyDescent="0.2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5.75" customHeight="1" x14ac:dyDescent="0.2"/>
    <row r="259" spans="1:26" ht="15.75" customHeight="1" x14ac:dyDescent="0.2"/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C41:D41"/>
    <mergeCell ref="E41:F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DashBoard</vt:lpstr>
      <vt:lpstr>Expenses</vt:lpstr>
      <vt:lpstr>Income</vt:lpstr>
      <vt:lpstr>InHand</vt:lpstr>
      <vt:lpstr>Comparison to Budget Targets</vt:lpstr>
      <vt:lpstr>Total &amp; Budget Targets</vt:lpstr>
      <vt:lpstr>Selected Time Period Data</vt:lpstr>
      <vt:lpstr>Category Setup</vt:lpstr>
      <vt:lpstr>Date Info</vt:lpstr>
      <vt:lpstr>rangeExpenseCategories</vt:lpstr>
      <vt:lpstr>rangeIncomeCategories</vt:lpstr>
      <vt:lpstr>rangeTimePeriods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2026-01-06T13:34:17Z</dcterms:created>
  <dcterms:modified xsi:type="dcterms:W3CDTF">2026-01-06T13:35:49Z</dcterms:modified>
</cp:coreProperties>
</file>